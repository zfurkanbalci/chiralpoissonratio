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urka\OneDrive\Masaüstü\Hümeyra\"/>
    </mc:Choice>
  </mc:AlternateContent>
  <xr:revisionPtr revIDLastSave="0" documentId="13_ncr:1_{D303A988-F36E-486D-9314-5FBA9204FB58}" xr6:coauthVersionLast="47" xr6:coauthVersionMax="47" xr10:uidLastSave="{00000000-0000-0000-0000-000000000000}"/>
  <bookViews>
    <workbookView xWindow="28680" yWindow="5550" windowWidth="29040" windowHeight="15720" xr2:uid="{42F4221B-05B9-46BE-8565-85DCB5B5A89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4" i="1" l="1"/>
  <c r="I133" i="1"/>
</calcChain>
</file>

<file path=xl/sharedStrings.xml><?xml version="1.0" encoding="utf-8"?>
<sst xmlns="http://schemas.openxmlformats.org/spreadsheetml/2006/main" count="15" uniqueCount="15">
  <si>
    <t>Porosity (%)</t>
  </si>
  <si>
    <t>Thickness (mm)</t>
  </si>
  <si>
    <t>Height -h1 (mm)</t>
  </si>
  <si>
    <t>Height -h2 (mm)</t>
  </si>
  <si>
    <t>Length -l1 (mm)</t>
  </si>
  <si>
    <t>Length -l2 (mm)</t>
  </si>
  <si>
    <t>Mesh Size (mm)</t>
  </si>
  <si>
    <t>Effective Elastic Modulus (Ey/Gpa)</t>
  </si>
  <si>
    <t>Poisson Ratio</t>
  </si>
  <si>
    <t>Maximum von-Mises Stress (MPa)</t>
  </si>
  <si>
    <t>Minimum von-Mises Stress (MPa)</t>
  </si>
  <si>
    <t>Average von-Mises Stress (MPa)</t>
  </si>
  <si>
    <t>Maximum Total Deformation (mm)</t>
  </si>
  <si>
    <t>Minimum Total Deformation (mm)</t>
  </si>
  <si>
    <t>Average Total Deformation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</si>
</sst>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62"/>
      <scheme val="minor"/>
    </font>
    <font>
      <sz val="12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0" fontId="1" fillId="0" borderId="1" xfId="0" applyFont="1" applyFill="1" applyBorder="1"/>
    <xf numFmtId="0" fontId="1" fillId="0" borderId="0" xfId="0" applyFont="1" applyBorder="1"/>
    <xf numFmtId="0" fontId="1" fillId="0" borderId="2" xfId="0" applyFont="1" applyFill="1" applyBorder="1"/>
    <xf numFmtId="0" fontId="1" fillId="0" borderId="0" xfId="0" applyFont="1" applyFill="1"/>
    <xf numFmtId="11" fontId="1" fillId="0" borderId="0" xfId="0" applyNumberFormat="1" applyFont="1" applyFill="1"/>
    <xf numFmtId="11" fontId="1" fillId="0" borderId="0" xfId="0" applyNumberFormat="1" applyFont="1" applyBorder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Fill="1" applyBorder="1"/>
    <xf numFmtId="0" fontId="1" fillId="0" borderId="1" xfId="0" applyFont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charset val="16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CD04B-AAE9-4453-9A8D-6A5D135E34F0}" name="Tablo1" displayName="Tablo1" ref="A1:O961" totalsRowShown="0" headerRowDxfId="0" dataDxfId="16">
  <autoFilter ref="A1:O961" xr:uid="{9D5CD04B-AAE9-4453-9A8D-6A5D135E34F0}"/>
  <sortState xmlns:xlrd2="http://schemas.microsoft.com/office/spreadsheetml/2017/richdata2" ref="A2:O961">
    <sortCondition ref="G1:G961"/>
  </sortState>
  <tableColumns count="15">
    <tableColumn id="2" xr3:uid="{77841ED8-8540-41C6-A4E4-B82371A8E079}" name="Porosity (%)" dataDxfId="15"/>
    <tableColumn id="3" xr3:uid="{B16AC21F-06BF-425E-82AB-C5D4068B9E98}" name="Thickness (mm)" dataDxfId="14"/>
    <tableColumn id="4" xr3:uid="{CE1E929F-99E5-4B6A-A365-297B85D227D1}" name="Height -h1 (mm)" dataDxfId="13"/>
    <tableColumn id="5" xr3:uid="{BB914123-EA54-4CBF-9412-81E1F0662893}" name="Height -h2 (mm)" dataDxfId="12"/>
    <tableColumn id="6" xr3:uid="{56EF34A1-5F79-42E1-9F32-CC59CD0DA531}" name="Length -l1 (mm)" dataDxfId="11"/>
    <tableColumn id="7" xr3:uid="{6C17F183-FBB1-49EF-AFB9-B86EDFE09ECA}" name="Length -l2 (mm)" dataDxfId="10"/>
    <tableColumn id="9" xr3:uid="{C2CAF538-ADE4-4E91-AD1F-2BC7552B4608}" name="Mesh Size (mm)" dataDxfId="9"/>
    <tableColumn id="10" xr3:uid="{62CE2C24-9FFA-4D7F-BDBC-D9D82DAAB166}" name="Effective Elastic Modulus (Ey/Gpa)" dataDxfId="8"/>
    <tableColumn id="11" xr3:uid="{E7E8B4D1-7366-4E40-9422-6CD6651B98CE}" name="Poisson Ratio" dataDxfId="7"/>
    <tableColumn id="12" xr3:uid="{7D93A9F2-AB52-45A6-9EE7-8FF4D4968CB1}" name="Maximum von-Mises Stress (MPa)" dataDxfId="6"/>
    <tableColumn id="13" xr3:uid="{FB405CEB-620E-48DA-88C6-06FF3DA68322}" name="Minimum von-Mises Stress (MPa)" dataDxfId="5"/>
    <tableColumn id="14" xr3:uid="{530FEDC8-75CC-447D-B226-940A7F3A4A53}" name="Average von-Mises Stress (MPa)" dataDxfId="4"/>
    <tableColumn id="15" xr3:uid="{65C5A0C0-B07E-48C8-AA4C-CC9ED6644B39}" name="Maximum Total Deformation (mm)" dataDxfId="3"/>
    <tableColumn id="16" xr3:uid="{94163AF9-4459-47DD-80C7-1329D088863E}" name="Minimum Total Deformation (mm)" dataDxfId="2"/>
    <tableColumn id="17" xr3:uid="{0AC6964C-7472-495B-AD55-AE1D1BBBA66A}" name="Average Total Deformation (mm)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F72E-A3FD-43DC-AFF8-9C4BFEF17133}">
  <dimension ref="A1:P961"/>
  <sheetViews>
    <sheetView tabSelected="1" zoomScale="85" zoomScaleNormal="85" workbookViewId="0">
      <selection activeCell="O1" sqref="A1:O1"/>
    </sheetView>
  </sheetViews>
  <sheetFormatPr defaultRowHeight="14.25"/>
  <cols>
    <col min="1" max="1" width="14.5" customWidth="1"/>
    <col min="2" max="2" width="9.375" customWidth="1"/>
    <col min="3" max="4" width="11.625" customWidth="1"/>
    <col min="5" max="6" width="9.625" customWidth="1"/>
    <col min="7" max="7" width="13.375" customWidth="1"/>
    <col min="8" max="8" width="13.5" customWidth="1"/>
    <col min="9" max="9" width="11.375" customWidth="1"/>
    <col min="10" max="11" width="17.625" customWidth="1"/>
    <col min="12" max="12" width="18.875" customWidth="1"/>
    <col min="13" max="13" width="19.75" customWidth="1"/>
    <col min="14" max="14" width="20.5" customWidth="1"/>
    <col min="15" max="15" width="19.75" customWidth="1"/>
    <col min="16" max="16" width="19.875" customWidth="1"/>
  </cols>
  <sheetData>
    <row r="1" spans="1:15" ht="63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" t="s">
        <v>7</v>
      </c>
      <c r="I1" s="1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>
      <c r="A2" s="2">
        <v>78.8</v>
      </c>
      <c r="B2" s="2">
        <v>1</v>
      </c>
      <c r="C2" s="2">
        <v>14</v>
      </c>
      <c r="D2" s="2">
        <v>4.9000000000000004</v>
      </c>
      <c r="E2" s="2">
        <v>14</v>
      </c>
      <c r="F2" s="2">
        <v>4.9000000000000004</v>
      </c>
      <c r="G2" s="2">
        <v>0.2</v>
      </c>
      <c r="H2" s="2">
        <v>2.37</v>
      </c>
      <c r="I2" s="2">
        <v>-0.504</v>
      </c>
      <c r="J2" s="2">
        <v>73.724000000000004</v>
      </c>
      <c r="K2" s="3">
        <v>2.6763999999999999E-6</v>
      </c>
      <c r="L2" s="2">
        <v>9.7200000000000006</v>
      </c>
      <c r="M2" s="3">
        <v>1.0485E-2</v>
      </c>
      <c r="N2" s="3">
        <v>1.1657999999999999E-5</v>
      </c>
      <c r="O2" s="3">
        <v>4.5529000000000003E-3</v>
      </c>
    </row>
    <row r="3" spans="1:15" ht="15.75">
      <c r="A3" s="2">
        <v>78.8</v>
      </c>
      <c r="B3" s="2">
        <v>1</v>
      </c>
      <c r="C3" s="2">
        <v>14</v>
      </c>
      <c r="D3" s="2">
        <v>4.9000000000000004</v>
      </c>
      <c r="E3" s="2">
        <v>14</v>
      </c>
      <c r="F3" s="2">
        <v>5.32</v>
      </c>
      <c r="G3" s="2">
        <v>0.2</v>
      </c>
      <c r="H3" s="2">
        <v>2.77</v>
      </c>
      <c r="I3" s="2">
        <v>-0.50600000000000001</v>
      </c>
      <c r="J3" s="2">
        <v>72.03</v>
      </c>
      <c r="K3" s="3">
        <v>2.5007999999999998E-6</v>
      </c>
      <c r="L3" s="2">
        <v>9.6949000000000005</v>
      </c>
      <c r="M3" s="3">
        <v>1.0484E-2</v>
      </c>
      <c r="N3" s="3">
        <v>1.0626E-5</v>
      </c>
      <c r="O3" s="3">
        <v>4.5666999999999999E-3</v>
      </c>
    </row>
    <row r="4" spans="1:15" ht="15.75">
      <c r="A4" s="2">
        <v>78.8</v>
      </c>
      <c r="B4" s="2">
        <v>1</v>
      </c>
      <c r="C4" s="2">
        <v>14</v>
      </c>
      <c r="D4" s="2">
        <v>5.32</v>
      </c>
      <c r="E4" s="2">
        <v>14</v>
      </c>
      <c r="F4" s="2">
        <v>4.9000000000000004</v>
      </c>
      <c r="G4" s="2">
        <v>0.2</v>
      </c>
      <c r="H4" s="2">
        <v>2.72</v>
      </c>
      <c r="I4" s="2">
        <v>-0.496</v>
      </c>
      <c r="J4" s="2">
        <v>82.608999999999995</v>
      </c>
      <c r="K4" s="3">
        <v>3.7333000000000002E-7</v>
      </c>
      <c r="L4" s="2">
        <v>9.7835000000000001</v>
      </c>
      <c r="M4" s="3">
        <v>1.0647999999999999E-2</v>
      </c>
      <c r="N4" s="3">
        <v>1.4123E-5</v>
      </c>
      <c r="O4" s="3">
        <v>4.5833000000000002E-3</v>
      </c>
    </row>
    <row r="5" spans="1:15" ht="15.75">
      <c r="A5" s="2">
        <v>78.8</v>
      </c>
      <c r="B5" s="2">
        <v>1</v>
      </c>
      <c r="C5" s="2">
        <v>14</v>
      </c>
      <c r="D5" s="2">
        <v>5.32</v>
      </c>
      <c r="E5" s="2">
        <v>14</v>
      </c>
      <c r="F5" s="2">
        <v>5.32</v>
      </c>
      <c r="G5" s="2">
        <v>0.2</v>
      </c>
      <c r="H5" s="2">
        <v>2.74</v>
      </c>
      <c r="I5" s="2">
        <v>-0.45</v>
      </c>
      <c r="J5" s="2">
        <v>70.849999999999994</v>
      </c>
      <c r="K5" s="3">
        <v>3.7994E-6</v>
      </c>
      <c r="L5" s="2">
        <v>9.6064000000000007</v>
      </c>
      <c r="M5" s="3">
        <v>1.0614E-2</v>
      </c>
      <c r="N5" s="3">
        <v>2.2785999999999998E-5</v>
      </c>
      <c r="O5" s="3">
        <v>4.6087000000000003E-3</v>
      </c>
    </row>
    <row r="6" spans="1:15" ht="15.75">
      <c r="A6" s="2">
        <v>80.099999999999994</v>
      </c>
      <c r="B6" s="2">
        <v>1</v>
      </c>
      <c r="C6" s="2">
        <v>14</v>
      </c>
      <c r="D6" s="2">
        <v>4.9000000000000004</v>
      </c>
      <c r="E6" s="2">
        <v>16</v>
      </c>
      <c r="F6" s="2">
        <v>5.6</v>
      </c>
      <c r="G6" s="2">
        <v>0.2</v>
      </c>
      <c r="H6" s="2">
        <v>2.14</v>
      </c>
      <c r="I6" s="2">
        <v>-0.46800000000000003</v>
      </c>
      <c r="J6" s="2">
        <v>86.094999999999999</v>
      </c>
      <c r="K6" s="3">
        <v>6.4063999999999997E-8</v>
      </c>
      <c r="L6" s="2">
        <v>10.898</v>
      </c>
      <c r="M6" s="3">
        <v>1.357E-2</v>
      </c>
      <c r="N6" s="3">
        <v>3.2456000000000002E-5</v>
      </c>
      <c r="O6" s="3">
        <v>5.5718E-3</v>
      </c>
    </row>
    <row r="7" spans="1:15" ht="15.75">
      <c r="A7" s="2">
        <v>80.099999999999994</v>
      </c>
      <c r="B7" s="2">
        <v>1</v>
      </c>
      <c r="C7" s="2">
        <v>14</v>
      </c>
      <c r="D7" s="2">
        <v>4.9000000000000004</v>
      </c>
      <c r="E7" s="2">
        <v>16</v>
      </c>
      <c r="F7" s="2">
        <v>6.08</v>
      </c>
      <c r="G7" s="2">
        <v>0.2</v>
      </c>
      <c r="H7" s="2">
        <v>2.15</v>
      </c>
      <c r="I7" s="2">
        <v>-0.47099999999999997</v>
      </c>
      <c r="J7" s="2">
        <v>89.481999999999999</v>
      </c>
      <c r="K7" s="3">
        <v>4.2202000000000002E-7</v>
      </c>
      <c r="L7" s="2">
        <v>10.949</v>
      </c>
      <c r="M7" s="3">
        <v>1.3547999999999999E-2</v>
      </c>
      <c r="N7" s="3">
        <v>5.1124E-5</v>
      </c>
      <c r="O7" s="3">
        <v>5.5650999999999999E-3</v>
      </c>
    </row>
    <row r="8" spans="1:15" ht="15.75">
      <c r="A8" s="2">
        <v>80.099999999999994</v>
      </c>
      <c r="B8" s="2">
        <v>1</v>
      </c>
      <c r="C8" s="2">
        <v>14</v>
      </c>
      <c r="D8" s="2">
        <v>5.32</v>
      </c>
      <c r="E8" s="2">
        <v>16</v>
      </c>
      <c r="F8" s="2">
        <v>5.6</v>
      </c>
      <c r="G8" s="2">
        <v>0.2</v>
      </c>
      <c r="H8" s="2">
        <v>2.11</v>
      </c>
      <c r="I8" s="2">
        <v>-0.45900000000000002</v>
      </c>
      <c r="J8" s="2">
        <v>86.516999999999996</v>
      </c>
      <c r="K8" s="3">
        <v>6.6405000000000002E-7</v>
      </c>
      <c r="L8" s="2">
        <v>11.032</v>
      </c>
      <c r="M8" s="3">
        <v>1.3759E-2</v>
      </c>
      <c r="N8" s="3">
        <v>1.9697000000000001E-5</v>
      </c>
      <c r="O8" s="3">
        <v>5.6052000000000003E-3</v>
      </c>
    </row>
    <row r="9" spans="1:15" ht="15.75">
      <c r="A9" s="2">
        <v>80.099999999999994</v>
      </c>
      <c r="B9" s="2">
        <v>1</v>
      </c>
      <c r="C9" s="2">
        <v>14</v>
      </c>
      <c r="D9" s="2">
        <v>5.32</v>
      </c>
      <c r="E9" s="2">
        <v>16</v>
      </c>
      <c r="F9" s="2">
        <v>6.08</v>
      </c>
      <c r="G9" s="2">
        <v>0.2</v>
      </c>
      <c r="H9" s="2">
        <v>2.12</v>
      </c>
      <c r="I9" s="2">
        <v>-0.46300000000000002</v>
      </c>
      <c r="J9" s="2">
        <v>83.933000000000007</v>
      </c>
      <c r="K9" s="3">
        <v>8.2798999999999999E-7</v>
      </c>
      <c r="L9" s="2">
        <v>10.89</v>
      </c>
      <c r="M9" s="3">
        <v>1.3735000000000001E-2</v>
      </c>
      <c r="N9" s="3">
        <v>1.9976E-5</v>
      </c>
      <c r="O9" s="3">
        <v>5.6110999999999999E-3</v>
      </c>
    </row>
    <row r="10" spans="1:15" ht="15.75">
      <c r="A10" s="2">
        <v>81</v>
      </c>
      <c r="B10" s="2">
        <v>1</v>
      </c>
      <c r="C10" s="2">
        <v>14</v>
      </c>
      <c r="D10" s="2">
        <v>4.9000000000000004</v>
      </c>
      <c r="E10" s="2">
        <v>18</v>
      </c>
      <c r="F10" s="2">
        <v>6.3</v>
      </c>
      <c r="G10" s="2">
        <v>0.2</v>
      </c>
      <c r="H10" s="2">
        <v>1.75</v>
      </c>
      <c r="I10" s="2">
        <v>-0.44500000000000001</v>
      </c>
      <c r="J10" s="2">
        <v>99.236999999999995</v>
      </c>
      <c r="K10" s="3">
        <v>7.5203000000000002E-9</v>
      </c>
      <c r="L10" s="2">
        <v>12.131</v>
      </c>
      <c r="M10" s="3">
        <v>1.7283E-2</v>
      </c>
      <c r="N10" s="3">
        <v>5.4954000000000003E-5</v>
      </c>
      <c r="O10" s="3">
        <v>6.9198000000000003E-3</v>
      </c>
    </row>
    <row r="11" spans="1:15" ht="15.75">
      <c r="A11" s="2">
        <v>81</v>
      </c>
      <c r="B11" s="2">
        <v>1</v>
      </c>
      <c r="C11" s="2">
        <v>14</v>
      </c>
      <c r="D11" s="2">
        <v>4.9000000000000004</v>
      </c>
      <c r="E11" s="2">
        <v>18</v>
      </c>
      <c r="F11" s="2">
        <v>6.84</v>
      </c>
      <c r="G11" s="2">
        <v>0.2</v>
      </c>
      <c r="H11" s="2">
        <v>1.7</v>
      </c>
      <c r="I11" s="2">
        <v>-0.435</v>
      </c>
      <c r="J11" s="2">
        <v>118.82</v>
      </c>
      <c r="K11" s="3">
        <v>5.4199000000000001E-8</v>
      </c>
      <c r="L11" s="2">
        <v>12.031000000000001</v>
      </c>
      <c r="M11" s="3">
        <v>1.7153999999999999E-2</v>
      </c>
      <c r="N11" s="3">
        <v>1.2439000000000001E-5</v>
      </c>
      <c r="O11" s="3">
        <v>6.6736E-3</v>
      </c>
    </row>
    <row r="12" spans="1:15" ht="15.75">
      <c r="A12" s="2">
        <v>81</v>
      </c>
      <c r="B12" s="2">
        <v>1</v>
      </c>
      <c r="C12" s="2">
        <v>14</v>
      </c>
      <c r="D12" s="2">
        <v>5.32</v>
      </c>
      <c r="E12" s="2">
        <v>18</v>
      </c>
      <c r="F12" s="2">
        <v>6.3</v>
      </c>
      <c r="G12" s="2">
        <v>0.2</v>
      </c>
      <c r="H12" s="2">
        <v>1.67</v>
      </c>
      <c r="I12" s="2">
        <v>-0.42299999999999999</v>
      </c>
      <c r="J12" s="2">
        <v>103.52</v>
      </c>
      <c r="K12" s="3">
        <v>3.5498999999999999E-8</v>
      </c>
      <c r="L12" s="2">
        <v>12.032999999999999</v>
      </c>
      <c r="M12" s="3">
        <v>1.7387E-2</v>
      </c>
      <c r="N12" s="3">
        <v>3.9477999999999997E-5</v>
      </c>
      <c r="O12" s="3">
        <v>6.7489000000000004E-3</v>
      </c>
    </row>
    <row r="13" spans="1:15" ht="15.75">
      <c r="A13" s="2">
        <v>81</v>
      </c>
      <c r="B13" s="2">
        <v>1</v>
      </c>
      <c r="C13" s="2">
        <v>14</v>
      </c>
      <c r="D13" s="2">
        <v>5.32</v>
      </c>
      <c r="E13" s="2">
        <v>18</v>
      </c>
      <c r="F13" s="2">
        <v>6.84</v>
      </c>
      <c r="G13" s="2">
        <v>0.2</v>
      </c>
      <c r="H13" s="2">
        <v>1.68</v>
      </c>
      <c r="I13" s="2">
        <v>-0.42699999999999999</v>
      </c>
      <c r="J13" s="2">
        <v>100.87</v>
      </c>
      <c r="K13" s="3">
        <v>1.7412E-7</v>
      </c>
      <c r="L13" s="2">
        <v>12.071</v>
      </c>
      <c r="M13" s="3">
        <v>1.7364999999999998E-2</v>
      </c>
      <c r="N13" s="3">
        <v>1.3507E-5</v>
      </c>
      <c r="O13" s="3">
        <v>6.7321000000000004E-3</v>
      </c>
    </row>
    <row r="14" spans="1:15" ht="15.75">
      <c r="A14" s="2">
        <v>81.8</v>
      </c>
      <c r="B14" s="2">
        <v>1</v>
      </c>
      <c r="C14" s="2">
        <v>14</v>
      </c>
      <c r="D14" s="2">
        <v>4.9000000000000004</v>
      </c>
      <c r="E14" s="2">
        <v>20</v>
      </c>
      <c r="F14" s="2">
        <v>7</v>
      </c>
      <c r="G14" s="2">
        <v>0.2</v>
      </c>
      <c r="H14" s="2">
        <v>1.37</v>
      </c>
      <c r="I14" s="2">
        <v>-0.39700000000000002</v>
      </c>
      <c r="J14" s="2">
        <v>120.3</v>
      </c>
      <c r="K14" s="3">
        <v>4.8732000000000001E-9</v>
      </c>
      <c r="L14" s="2">
        <v>13.101000000000001</v>
      </c>
      <c r="M14" s="3">
        <v>2.1308000000000001E-2</v>
      </c>
      <c r="N14" s="3">
        <v>1.3814E-5</v>
      </c>
      <c r="O14" s="3">
        <v>7.9504999999999992E-3</v>
      </c>
    </row>
    <row r="15" spans="1:15" ht="15.75">
      <c r="A15" s="2">
        <v>81.8</v>
      </c>
      <c r="B15" s="2">
        <v>1</v>
      </c>
      <c r="C15" s="2">
        <v>14</v>
      </c>
      <c r="D15" s="2">
        <v>4.9000000000000004</v>
      </c>
      <c r="E15" s="2">
        <v>20</v>
      </c>
      <c r="F15" s="2">
        <v>7.6</v>
      </c>
      <c r="G15" s="2">
        <v>0.2</v>
      </c>
      <c r="H15" s="2">
        <v>1.7</v>
      </c>
      <c r="I15" s="2">
        <v>-0.254</v>
      </c>
      <c r="J15" s="2">
        <v>107.62</v>
      </c>
      <c r="K15" s="3">
        <v>7.9963999999999994E-9</v>
      </c>
      <c r="L15" s="2">
        <v>11.037000000000001</v>
      </c>
      <c r="M15" s="3">
        <v>1.7205999999999999E-2</v>
      </c>
      <c r="N15" s="3">
        <v>4.4181999999999998E-5</v>
      </c>
      <c r="O15" s="3">
        <v>5.5019999999999999E-3</v>
      </c>
    </row>
    <row r="16" spans="1:15" ht="15.75">
      <c r="A16" s="2">
        <v>81.8</v>
      </c>
      <c r="B16" s="2">
        <v>1</v>
      </c>
      <c r="C16" s="2">
        <v>14</v>
      </c>
      <c r="D16" s="2">
        <v>5.32</v>
      </c>
      <c r="E16" s="2">
        <v>20</v>
      </c>
      <c r="F16" s="2">
        <v>7</v>
      </c>
      <c r="G16" s="2">
        <v>0.2</v>
      </c>
      <c r="H16" s="2">
        <v>1.35</v>
      </c>
      <c r="I16" s="2">
        <v>-0.38700000000000001</v>
      </c>
      <c r="J16" s="2">
        <v>113.94</v>
      </c>
      <c r="K16" s="3">
        <v>1.1339999999999999E-8</v>
      </c>
      <c r="L16" s="2">
        <v>12.882</v>
      </c>
      <c r="M16" s="3">
        <v>2.1555999999999999E-2</v>
      </c>
      <c r="N16" s="3">
        <v>1.7916999999999999E-6</v>
      </c>
      <c r="O16" s="3">
        <v>8.0283999999999998E-3</v>
      </c>
    </row>
    <row r="17" spans="1:15" ht="15.75">
      <c r="A17" s="2">
        <v>81.8</v>
      </c>
      <c r="B17" s="2">
        <v>1</v>
      </c>
      <c r="C17" s="13">
        <v>14</v>
      </c>
      <c r="D17" s="13">
        <v>5.32</v>
      </c>
      <c r="E17" s="13">
        <v>20</v>
      </c>
      <c r="F17" s="13">
        <v>7.6</v>
      </c>
      <c r="G17" s="2">
        <v>0.2</v>
      </c>
      <c r="H17" s="2">
        <v>1.35</v>
      </c>
      <c r="I17" s="2">
        <v>-0.38700000000000001</v>
      </c>
      <c r="J17" s="2">
        <v>113.56</v>
      </c>
      <c r="K17" s="3">
        <v>9.8198000000000004E-9</v>
      </c>
      <c r="L17" s="2">
        <v>12.893000000000001</v>
      </c>
      <c r="M17" s="3">
        <v>2.1555000000000001E-2</v>
      </c>
      <c r="N17" s="3">
        <v>8.7128999999999996E-7</v>
      </c>
      <c r="O17" s="3">
        <v>8.0353999999999998E-3</v>
      </c>
    </row>
    <row r="18" spans="1:15" ht="15.75">
      <c r="A18" s="2">
        <v>69.2</v>
      </c>
      <c r="B18" s="2">
        <v>1.5</v>
      </c>
      <c r="C18" s="2">
        <v>14</v>
      </c>
      <c r="D18" s="2">
        <v>4.9000000000000004</v>
      </c>
      <c r="E18" s="2">
        <v>14</v>
      </c>
      <c r="F18" s="2">
        <v>4.9000000000000004</v>
      </c>
      <c r="G18" s="2">
        <v>0.2</v>
      </c>
      <c r="H18" s="2">
        <v>7.86</v>
      </c>
      <c r="I18" s="2">
        <v>-0.42399999999999999</v>
      </c>
      <c r="J18" s="2">
        <v>39.661000000000001</v>
      </c>
      <c r="K18" s="3">
        <v>1.0283E-5</v>
      </c>
      <c r="L18" s="2">
        <v>5.1002999999999998</v>
      </c>
      <c r="M18" s="3">
        <v>3.6640000000000002E-3</v>
      </c>
      <c r="N18" s="3">
        <v>2.7781000000000001E-6</v>
      </c>
      <c r="O18" s="3">
        <v>1.6234000000000001E-3</v>
      </c>
    </row>
    <row r="19" spans="1:15" ht="15.75">
      <c r="A19" s="2">
        <v>69.2</v>
      </c>
      <c r="B19" s="2">
        <v>1.5</v>
      </c>
      <c r="C19" s="2">
        <v>14</v>
      </c>
      <c r="D19" s="2">
        <v>4.9000000000000004</v>
      </c>
      <c r="E19" s="2">
        <v>14</v>
      </c>
      <c r="F19" s="2">
        <v>5.32</v>
      </c>
      <c r="G19" s="2">
        <v>0.2</v>
      </c>
      <c r="H19" s="2">
        <v>7.89</v>
      </c>
      <c r="I19" s="2">
        <v>-0.42599999999999999</v>
      </c>
      <c r="J19" s="2">
        <v>40.043999999999997</v>
      </c>
      <c r="K19" s="3">
        <v>2.4192000000000001E-5</v>
      </c>
      <c r="L19" s="2">
        <v>5.0953999999999997</v>
      </c>
      <c r="M19" s="3">
        <v>3.6565999999999999E-3</v>
      </c>
      <c r="N19" s="3">
        <v>1.9877999999999998E-6</v>
      </c>
      <c r="O19" s="3">
        <v>1.627E-3</v>
      </c>
    </row>
    <row r="20" spans="1:15" ht="15.75">
      <c r="A20" s="2">
        <v>69.2</v>
      </c>
      <c r="B20" s="2">
        <v>1.5</v>
      </c>
      <c r="C20" s="2">
        <v>14</v>
      </c>
      <c r="D20" s="2">
        <v>5.32</v>
      </c>
      <c r="E20" s="2">
        <v>14</v>
      </c>
      <c r="F20" s="2">
        <v>4.9000000000000004</v>
      </c>
      <c r="G20" s="2">
        <v>0.2</v>
      </c>
      <c r="H20" s="2">
        <v>7.75</v>
      </c>
      <c r="I20" s="2">
        <v>-0.41799999999999998</v>
      </c>
      <c r="J20" s="2">
        <v>37.814</v>
      </c>
      <c r="K20" s="3">
        <v>1.2237E-5</v>
      </c>
      <c r="L20" s="2">
        <v>5.1041999999999996</v>
      </c>
      <c r="M20" s="3">
        <v>3.7144000000000001E-3</v>
      </c>
      <c r="N20" s="3">
        <v>4.9467999999999998E-6</v>
      </c>
      <c r="O20" s="3">
        <v>1.6345000000000001E-3</v>
      </c>
    </row>
    <row r="21" spans="1:15" ht="15.75">
      <c r="A21" s="2">
        <v>69.2</v>
      </c>
      <c r="B21" s="2">
        <v>1.5</v>
      </c>
      <c r="C21" s="2">
        <v>14</v>
      </c>
      <c r="D21" s="2">
        <v>5.32</v>
      </c>
      <c r="E21" s="2">
        <v>14</v>
      </c>
      <c r="F21" s="2">
        <v>5.32</v>
      </c>
      <c r="G21" s="2">
        <v>0.2</v>
      </c>
      <c r="H21" s="2">
        <v>7.78</v>
      </c>
      <c r="I21" s="2">
        <v>-0.42099999999999999</v>
      </c>
      <c r="J21" s="2">
        <v>40.392000000000003</v>
      </c>
      <c r="K21" s="3">
        <v>8.8151999999999999E-6</v>
      </c>
      <c r="L21" s="2">
        <v>5.0766</v>
      </c>
      <c r="M21" s="3">
        <v>3.705E-3</v>
      </c>
      <c r="N21" s="3">
        <v>2.7586000000000002E-6</v>
      </c>
      <c r="O21" s="3">
        <v>1.6371000000000001E-3</v>
      </c>
    </row>
    <row r="22" spans="1:15" ht="15.75">
      <c r="A22" s="2">
        <v>70.099999999999994</v>
      </c>
      <c r="B22" s="2">
        <v>1.5</v>
      </c>
      <c r="C22" s="2">
        <v>14</v>
      </c>
      <c r="D22" s="2">
        <v>4.9000000000000004</v>
      </c>
      <c r="E22" s="2">
        <v>16</v>
      </c>
      <c r="F22" s="2">
        <v>5.6</v>
      </c>
      <c r="G22" s="2">
        <v>0.2</v>
      </c>
      <c r="H22" s="2">
        <v>6.18</v>
      </c>
      <c r="I22" s="2">
        <v>-0.40100000000000002</v>
      </c>
      <c r="J22" s="2">
        <v>47.067</v>
      </c>
      <c r="K22" s="3">
        <v>7.9487000000000002E-7</v>
      </c>
      <c r="L22" s="2">
        <v>5.6212999999999997</v>
      </c>
      <c r="M22" s="3">
        <v>4.6743000000000002E-3</v>
      </c>
      <c r="N22" s="3">
        <v>4.0068999999999997E-6</v>
      </c>
      <c r="O22" s="3">
        <v>1.9659999999999999E-3</v>
      </c>
    </row>
    <row r="23" spans="1:15" ht="15.75">
      <c r="A23" s="2">
        <v>70.099999999999994</v>
      </c>
      <c r="B23" s="2">
        <v>1.5</v>
      </c>
      <c r="C23" s="2">
        <v>14</v>
      </c>
      <c r="D23" s="2">
        <v>4.9000000000000004</v>
      </c>
      <c r="E23" s="2">
        <v>16</v>
      </c>
      <c r="F23" s="2">
        <v>6.08</v>
      </c>
      <c r="G23" s="2">
        <v>0.2</v>
      </c>
      <c r="H23" s="2">
        <v>6.21</v>
      </c>
      <c r="I23" s="2">
        <v>-0.40500000000000003</v>
      </c>
      <c r="J23" s="2">
        <v>48.078000000000003</v>
      </c>
      <c r="K23" s="3">
        <v>5.2353999999999999E-6</v>
      </c>
      <c r="L23" s="2">
        <v>5.6695000000000002</v>
      </c>
      <c r="M23" s="3">
        <v>4.6639999999999997E-3</v>
      </c>
      <c r="N23" s="3">
        <v>6.4784999999999999E-6</v>
      </c>
      <c r="O23" s="3">
        <v>1.9608E-3</v>
      </c>
    </row>
    <row r="24" spans="1:15" ht="15.75">
      <c r="A24" s="2">
        <v>70.099999999999994</v>
      </c>
      <c r="B24" s="2">
        <v>1.5</v>
      </c>
      <c r="C24" s="2">
        <v>14</v>
      </c>
      <c r="D24" s="2">
        <v>5.32</v>
      </c>
      <c r="E24" s="2">
        <v>16</v>
      </c>
      <c r="F24" s="2">
        <v>5.6</v>
      </c>
      <c r="G24" s="2">
        <v>0.2</v>
      </c>
      <c r="H24" s="2">
        <v>6.1</v>
      </c>
      <c r="I24" s="2">
        <v>-0.39400000000000002</v>
      </c>
      <c r="J24" s="2">
        <v>52.497999999999998</v>
      </c>
      <c r="K24" s="3">
        <v>1.1711000000000001E-6</v>
      </c>
      <c r="L24" s="2">
        <v>5.7201000000000004</v>
      </c>
      <c r="M24" s="3">
        <v>4.7375999999999998E-3</v>
      </c>
      <c r="N24" s="3">
        <v>8.8650000000000007E-6</v>
      </c>
      <c r="O24" s="3">
        <v>1.9780000000000002E-3</v>
      </c>
    </row>
    <row r="25" spans="1:15" ht="15.75">
      <c r="A25" s="2">
        <v>70.099999999999994</v>
      </c>
      <c r="B25" s="2">
        <v>1.5</v>
      </c>
      <c r="C25" s="2">
        <v>14</v>
      </c>
      <c r="D25" s="2">
        <v>5.32</v>
      </c>
      <c r="E25" s="2">
        <v>16</v>
      </c>
      <c r="F25" s="2">
        <v>6.08</v>
      </c>
      <c r="G25" s="2">
        <v>0.2</v>
      </c>
      <c r="H25" s="2">
        <v>6.13</v>
      </c>
      <c r="I25" s="2">
        <v>-0.39800000000000002</v>
      </c>
      <c r="J25" s="2">
        <v>48.805999999999997</v>
      </c>
      <c r="K25" s="3">
        <v>5.7952E-6</v>
      </c>
      <c r="L25" s="2">
        <v>5.7206000000000001</v>
      </c>
      <c r="M25" s="3">
        <v>4.7260000000000002E-3</v>
      </c>
      <c r="N25" s="3">
        <v>4.4854000000000003E-6</v>
      </c>
      <c r="O25" s="3">
        <v>1.9775999999999999E-3</v>
      </c>
    </row>
    <row r="26" spans="1:15" ht="15.75">
      <c r="A26" s="2">
        <v>72.3</v>
      </c>
      <c r="B26" s="2">
        <v>1.5</v>
      </c>
      <c r="C26" s="2">
        <v>14</v>
      </c>
      <c r="D26" s="2">
        <v>4.9000000000000004</v>
      </c>
      <c r="E26" s="2">
        <v>18</v>
      </c>
      <c r="F26" s="2">
        <v>6.3</v>
      </c>
      <c r="G26" s="2">
        <v>0.2</v>
      </c>
      <c r="H26" s="2">
        <v>4.97</v>
      </c>
      <c r="I26" s="2">
        <v>-0.376</v>
      </c>
      <c r="J26" s="2">
        <v>52.573999999999998</v>
      </c>
      <c r="K26" s="3">
        <v>1.7415999999999999E-7</v>
      </c>
      <c r="L26" s="2">
        <v>6.2233000000000001</v>
      </c>
      <c r="M26" s="3">
        <v>5.8348000000000002E-3</v>
      </c>
      <c r="N26" s="3">
        <v>2.0169999999999999E-6</v>
      </c>
      <c r="O26" s="3">
        <v>2.3297999999999999E-3</v>
      </c>
    </row>
    <row r="27" spans="1:15" ht="15.75">
      <c r="A27" s="2">
        <v>72.3</v>
      </c>
      <c r="B27" s="2">
        <v>1.5</v>
      </c>
      <c r="C27" s="2">
        <v>14</v>
      </c>
      <c r="D27" s="2">
        <v>4.9000000000000004</v>
      </c>
      <c r="E27" s="2">
        <v>18</v>
      </c>
      <c r="F27" s="2">
        <v>6.84</v>
      </c>
      <c r="G27" s="2">
        <v>0.2</v>
      </c>
      <c r="H27" s="2">
        <v>4.99</v>
      </c>
      <c r="I27" s="2">
        <v>-0.38</v>
      </c>
      <c r="J27" s="2">
        <v>51.005000000000003</v>
      </c>
      <c r="K27" s="3">
        <v>6.4504000000000001E-7</v>
      </c>
      <c r="L27" s="2">
        <v>6.2606999999999999</v>
      </c>
      <c r="M27" s="3">
        <v>5.8225999999999998E-3</v>
      </c>
      <c r="N27" s="3">
        <v>1.4253000000000001E-5</v>
      </c>
      <c r="O27" s="3">
        <v>2.3335000000000001E-3</v>
      </c>
    </row>
    <row r="28" spans="1:15" ht="15.75">
      <c r="A28" s="2">
        <v>72.3</v>
      </c>
      <c r="B28" s="2">
        <v>1.5</v>
      </c>
      <c r="C28" s="2">
        <v>14</v>
      </c>
      <c r="D28" s="2">
        <v>5.32</v>
      </c>
      <c r="E28" s="2">
        <v>18</v>
      </c>
      <c r="F28" s="2">
        <v>6.3</v>
      </c>
      <c r="G28" s="2">
        <v>0.2</v>
      </c>
      <c r="H28" s="2">
        <v>4.9000000000000004</v>
      </c>
      <c r="I28" s="2">
        <v>-0.36899999999999999</v>
      </c>
      <c r="J28" s="2">
        <v>56.482999999999997</v>
      </c>
      <c r="K28" s="3">
        <v>3.2452E-7</v>
      </c>
      <c r="L28" s="2">
        <v>6.2445000000000004</v>
      </c>
      <c r="M28" s="3">
        <v>5.9036999999999996E-3</v>
      </c>
      <c r="N28" s="3">
        <v>5.7119000000000003E-6</v>
      </c>
      <c r="O28" s="3">
        <v>2.3479999999999998E-3</v>
      </c>
    </row>
    <row r="29" spans="1:15" ht="15.75">
      <c r="A29" s="2">
        <v>72.3</v>
      </c>
      <c r="B29" s="2">
        <v>1.5</v>
      </c>
      <c r="C29" s="2">
        <v>14</v>
      </c>
      <c r="D29" s="2">
        <v>5.32</v>
      </c>
      <c r="E29" s="2">
        <v>18</v>
      </c>
      <c r="F29" s="2">
        <v>6.84</v>
      </c>
      <c r="G29" s="2">
        <v>0.2</v>
      </c>
      <c r="H29" s="2">
        <v>4.93</v>
      </c>
      <c r="I29" s="2">
        <v>-0.373</v>
      </c>
      <c r="J29" s="2">
        <v>50.451000000000001</v>
      </c>
      <c r="K29" s="3">
        <v>4.9737999999999997E-7</v>
      </c>
      <c r="L29" s="2">
        <v>6.1685999999999996</v>
      </c>
      <c r="M29" s="3">
        <v>5.8868000000000002E-3</v>
      </c>
      <c r="N29" s="3">
        <v>5.9637000000000002E-6</v>
      </c>
      <c r="O29" s="3">
        <v>2.3454999999999999E-3</v>
      </c>
    </row>
    <row r="30" spans="1:15" ht="15.75">
      <c r="A30" s="2">
        <v>73.400000000000006</v>
      </c>
      <c r="B30" s="2">
        <v>1.5</v>
      </c>
      <c r="C30" s="2">
        <v>14</v>
      </c>
      <c r="D30" s="2">
        <v>4.9000000000000004</v>
      </c>
      <c r="E30" s="2">
        <v>20</v>
      </c>
      <c r="F30" s="2">
        <v>7</v>
      </c>
      <c r="G30" s="2">
        <v>0.2</v>
      </c>
      <c r="H30" s="2">
        <v>4.0599999999999996</v>
      </c>
      <c r="I30" s="2">
        <v>-0.35099999999999998</v>
      </c>
      <c r="J30" s="2">
        <v>56.828000000000003</v>
      </c>
      <c r="K30" s="3">
        <v>2.3020000000000001E-7</v>
      </c>
      <c r="L30" s="2">
        <v>6.6211000000000002</v>
      </c>
      <c r="M30" s="3">
        <v>7.1481000000000001E-3</v>
      </c>
      <c r="N30" s="3">
        <v>4.7348E-6</v>
      </c>
      <c r="O30" s="3">
        <v>2.7277E-3</v>
      </c>
    </row>
    <row r="31" spans="1:15" ht="15.75">
      <c r="A31" s="2">
        <v>73.400000000000006</v>
      </c>
      <c r="B31" s="2">
        <v>1.5</v>
      </c>
      <c r="C31" s="2">
        <v>14</v>
      </c>
      <c r="D31" s="2">
        <v>4.9000000000000004</v>
      </c>
      <c r="E31" s="2">
        <v>20</v>
      </c>
      <c r="F31" s="2">
        <v>7.6</v>
      </c>
      <c r="G31" s="2">
        <v>0.2</v>
      </c>
      <c r="H31" s="2">
        <v>4.08</v>
      </c>
      <c r="I31" s="2">
        <v>-0.35499999999999998</v>
      </c>
      <c r="J31" s="2">
        <v>60.588999999999999</v>
      </c>
      <c r="K31" s="3">
        <v>1.3159999999999999E-7</v>
      </c>
      <c r="L31" s="2">
        <v>6.6920000000000002</v>
      </c>
      <c r="M31" s="3">
        <v>7.1339999999999997E-3</v>
      </c>
      <c r="N31" s="3">
        <v>9.6153999999999995E-6</v>
      </c>
      <c r="O31" s="3">
        <v>2.7292000000000002E-3</v>
      </c>
    </row>
    <row r="32" spans="1:15" ht="15.75">
      <c r="A32" s="2">
        <v>73.400000000000006</v>
      </c>
      <c r="B32" s="2">
        <v>1.5</v>
      </c>
      <c r="C32" s="2">
        <v>14</v>
      </c>
      <c r="D32" s="2">
        <v>5.32</v>
      </c>
      <c r="E32" s="2">
        <v>20</v>
      </c>
      <c r="F32" s="2">
        <v>7</v>
      </c>
      <c r="G32" s="2">
        <v>0.2</v>
      </c>
      <c r="H32" s="2">
        <v>4.0199999999999996</v>
      </c>
      <c r="I32" s="2">
        <v>-0.34300000000000003</v>
      </c>
      <c r="J32" s="2">
        <v>58.713999999999999</v>
      </c>
      <c r="K32" s="3">
        <v>4.3269000000000002E-8</v>
      </c>
      <c r="L32" s="2">
        <v>6.6261000000000001</v>
      </c>
      <c r="M32" s="3">
        <v>7.2218999999999998E-3</v>
      </c>
      <c r="N32" s="3">
        <v>1.1788E-5</v>
      </c>
      <c r="O32" s="3">
        <v>2.7423E-3</v>
      </c>
    </row>
    <row r="33" spans="1:15" ht="15.75">
      <c r="A33" s="2">
        <v>73.400000000000006</v>
      </c>
      <c r="B33" s="2">
        <v>1.5</v>
      </c>
      <c r="C33" s="13">
        <v>14</v>
      </c>
      <c r="D33" s="13">
        <v>5.32</v>
      </c>
      <c r="E33" s="13">
        <v>20</v>
      </c>
      <c r="F33" s="13">
        <v>7.6</v>
      </c>
      <c r="G33" s="2">
        <v>0.2</v>
      </c>
      <c r="H33" s="2">
        <v>4.0199999999999996</v>
      </c>
      <c r="I33" s="2">
        <v>-0.34300000000000003</v>
      </c>
      <c r="J33" s="2">
        <v>59.871000000000002</v>
      </c>
      <c r="K33" s="3">
        <v>2.2350000000000001E-7</v>
      </c>
      <c r="L33" s="2">
        <v>6.6268000000000002</v>
      </c>
      <c r="M33" s="3">
        <v>7.2208000000000003E-3</v>
      </c>
      <c r="N33" s="3">
        <v>1.1891E-5</v>
      </c>
      <c r="O33" s="3">
        <v>2.7390000000000001E-3</v>
      </c>
    </row>
    <row r="34" spans="1:15" ht="15.75">
      <c r="A34" s="2">
        <v>60.2</v>
      </c>
      <c r="B34" s="2">
        <v>2</v>
      </c>
      <c r="C34" s="2">
        <v>14</v>
      </c>
      <c r="D34" s="2">
        <v>4.9000000000000004</v>
      </c>
      <c r="E34" s="2">
        <v>14</v>
      </c>
      <c r="F34" s="2">
        <v>4.9000000000000004</v>
      </c>
      <c r="G34" s="2">
        <v>0.2</v>
      </c>
      <c r="H34" s="2">
        <v>15.46</v>
      </c>
      <c r="I34" s="2">
        <v>-0.32500000000000001</v>
      </c>
      <c r="J34" s="2">
        <v>24.192</v>
      </c>
      <c r="K34" s="3">
        <v>2.1984000000000001E-4</v>
      </c>
      <c r="L34" s="2">
        <v>3.3250000000000002</v>
      </c>
      <c r="M34" s="3">
        <v>1.8468E-3</v>
      </c>
      <c r="N34" s="3">
        <v>2.1355999999999999E-6</v>
      </c>
      <c r="O34" s="3">
        <v>8.4973000000000004E-4</v>
      </c>
    </row>
    <row r="35" spans="1:15" ht="15.75">
      <c r="A35" s="2">
        <v>60.2</v>
      </c>
      <c r="B35" s="2">
        <v>2</v>
      </c>
      <c r="C35" s="2">
        <v>14</v>
      </c>
      <c r="D35" s="2">
        <v>4.9000000000000004</v>
      </c>
      <c r="E35" s="2">
        <v>14</v>
      </c>
      <c r="F35" s="2">
        <v>5.32</v>
      </c>
      <c r="G35" s="2">
        <v>0.2</v>
      </c>
      <c r="H35" s="2">
        <v>15.52</v>
      </c>
      <c r="I35" s="2">
        <v>-0.32800000000000001</v>
      </c>
      <c r="J35" s="2">
        <v>23.614000000000001</v>
      </c>
      <c r="K35" s="3">
        <v>2.7463999999999999E-4</v>
      </c>
      <c r="L35" s="2">
        <v>3.3914</v>
      </c>
      <c r="M35" s="3">
        <v>1.8418E-3</v>
      </c>
      <c r="N35" s="3">
        <v>1.7949E-6</v>
      </c>
      <c r="O35" s="3">
        <v>8.5006000000000003E-4</v>
      </c>
    </row>
    <row r="36" spans="1:15" ht="15.75">
      <c r="A36" s="2">
        <v>60.2</v>
      </c>
      <c r="B36" s="2">
        <v>2</v>
      </c>
      <c r="C36" s="2">
        <v>14</v>
      </c>
      <c r="D36" s="2">
        <v>5.32</v>
      </c>
      <c r="E36" s="2">
        <v>14</v>
      </c>
      <c r="F36" s="2">
        <v>4.9000000000000004</v>
      </c>
      <c r="G36" s="2">
        <v>0.2</v>
      </c>
      <c r="H36" s="2">
        <v>15.25</v>
      </c>
      <c r="I36" s="2">
        <v>-0.32200000000000001</v>
      </c>
      <c r="J36" s="2">
        <v>26.515000000000001</v>
      </c>
      <c r="K36" s="3">
        <v>1.1663999999999999E-4</v>
      </c>
      <c r="L36" s="2">
        <v>3.3957999999999999</v>
      </c>
      <c r="M36" s="3">
        <v>1.8717E-3</v>
      </c>
      <c r="N36" s="3">
        <v>8.6825000000000001E-7</v>
      </c>
      <c r="O36" s="3">
        <v>8.5232999999999999E-4</v>
      </c>
    </row>
    <row r="37" spans="1:15" ht="15.75">
      <c r="A37" s="2">
        <v>60.2</v>
      </c>
      <c r="B37" s="2">
        <v>2</v>
      </c>
      <c r="C37" s="2">
        <v>14</v>
      </c>
      <c r="D37" s="2">
        <v>5.32</v>
      </c>
      <c r="E37" s="2">
        <v>14</v>
      </c>
      <c r="F37" s="2">
        <v>5.32</v>
      </c>
      <c r="G37" s="2">
        <v>0.2</v>
      </c>
      <c r="H37" s="2">
        <v>15.32</v>
      </c>
      <c r="I37" s="2">
        <v>-0.32500000000000001</v>
      </c>
      <c r="J37" s="2">
        <v>25.97</v>
      </c>
      <c r="K37" s="3">
        <v>4.6166000000000002E-4</v>
      </c>
      <c r="L37" s="2">
        <v>3.3730000000000002</v>
      </c>
      <c r="M37" s="3">
        <v>1.8657000000000001E-3</v>
      </c>
      <c r="N37" s="3">
        <v>1.8602E-6</v>
      </c>
      <c r="O37" s="3">
        <v>8.5101999999999997E-4</v>
      </c>
    </row>
    <row r="38" spans="1:15" ht="15.75">
      <c r="A38" s="2">
        <v>62.4</v>
      </c>
      <c r="B38" s="2">
        <v>2</v>
      </c>
      <c r="C38" s="2">
        <v>14</v>
      </c>
      <c r="D38" s="2">
        <v>4.9000000000000004</v>
      </c>
      <c r="E38" s="2">
        <v>16</v>
      </c>
      <c r="F38" s="2">
        <v>5.6</v>
      </c>
      <c r="G38" s="2">
        <v>0.2</v>
      </c>
      <c r="H38" s="2">
        <v>12.34</v>
      </c>
      <c r="I38" s="2">
        <v>-0.318</v>
      </c>
      <c r="J38" s="2">
        <v>29.942</v>
      </c>
      <c r="K38" s="3">
        <v>3.3998999999999998E-5</v>
      </c>
      <c r="L38" s="2">
        <v>3.6707999999999998</v>
      </c>
      <c r="M38" s="3">
        <v>2.323E-3</v>
      </c>
      <c r="N38" s="3">
        <v>2.5073999999999999E-6</v>
      </c>
      <c r="O38" s="3">
        <v>1.0114E-3</v>
      </c>
    </row>
    <row r="39" spans="1:15" ht="15.75">
      <c r="A39" s="2">
        <v>62.4</v>
      </c>
      <c r="B39" s="2">
        <v>2</v>
      </c>
      <c r="C39" s="2">
        <v>14</v>
      </c>
      <c r="D39" s="2">
        <v>4.9000000000000004</v>
      </c>
      <c r="E39" s="2">
        <v>16</v>
      </c>
      <c r="F39" s="2">
        <v>6.08</v>
      </c>
      <c r="G39" s="2">
        <v>0.2</v>
      </c>
      <c r="H39" s="2">
        <v>12.44</v>
      </c>
      <c r="I39" s="2">
        <v>-0.32200000000000001</v>
      </c>
      <c r="J39" s="2">
        <v>27.727</v>
      </c>
      <c r="K39" s="3">
        <v>1.0527E-4</v>
      </c>
      <c r="L39" s="2">
        <v>3.6545999999999998</v>
      </c>
      <c r="M39" s="3">
        <v>2.3083000000000001E-3</v>
      </c>
      <c r="N39" s="3">
        <v>2.5478000000000001E-7</v>
      </c>
      <c r="O39" s="3">
        <v>1.0055999999999999E-3</v>
      </c>
    </row>
    <row r="40" spans="1:15" ht="15.75">
      <c r="A40" s="2">
        <v>62.4</v>
      </c>
      <c r="B40" s="2">
        <v>2</v>
      </c>
      <c r="C40" s="2">
        <v>14</v>
      </c>
      <c r="D40" s="2">
        <v>5.32</v>
      </c>
      <c r="E40" s="2">
        <v>16</v>
      </c>
      <c r="F40" s="2">
        <v>5.6</v>
      </c>
      <c r="G40" s="2">
        <v>0.2</v>
      </c>
      <c r="H40" s="2">
        <v>12.18</v>
      </c>
      <c r="I40" s="2">
        <v>-0.35799999999999998</v>
      </c>
      <c r="J40" s="2">
        <v>30.388000000000002</v>
      </c>
      <c r="K40" s="3">
        <v>3.1294999999999998E-5</v>
      </c>
      <c r="L40" s="2">
        <v>3.7162999999999999</v>
      </c>
      <c r="M40" s="3">
        <v>2.3522E-3</v>
      </c>
      <c r="N40" s="3">
        <v>2.9873000000000002E-6</v>
      </c>
      <c r="O40" s="3">
        <v>1.0161E-3</v>
      </c>
    </row>
    <row r="41" spans="1:15" ht="15.75">
      <c r="A41" s="2">
        <v>62.4</v>
      </c>
      <c r="B41" s="2">
        <v>2</v>
      </c>
      <c r="C41" s="2">
        <v>14</v>
      </c>
      <c r="D41" s="2">
        <v>5.32</v>
      </c>
      <c r="E41" s="2">
        <v>16</v>
      </c>
      <c r="F41" s="2">
        <v>6.08</v>
      </c>
      <c r="G41" s="2">
        <v>0.2</v>
      </c>
      <c r="H41" s="2">
        <v>12.24</v>
      </c>
      <c r="I41" s="2">
        <v>-0.317</v>
      </c>
      <c r="J41" s="2">
        <v>27.087</v>
      </c>
      <c r="K41" s="3">
        <v>6.6311999999999998E-5</v>
      </c>
      <c r="L41" s="2">
        <v>3.7351999999999999</v>
      </c>
      <c r="M41" s="3">
        <v>2.3454000000000001E-3</v>
      </c>
      <c r="N41" s="3">
        <v>1.9997999999999999E-6</v>
      </c>
      <c r="O41" s="3">
        <v>1.0183E-3</v>
      </c>
    </row>
    <row r="42" spans="1:15" ht="15.75">
      <c r="A42" s="2">
        <v>64.099999999999994</v>
      </c>
      <c r="B42" s="2">
        <v>2</v>
      </c>
      <c r="C42" s="2">
        <v>14</v>
      </c>
      <c r="D42" s="2">
        <v>4.9000000000000004</v>
      </c>
      <c r="E42" s="2">
        <v>18</v>
      </c>
      <c r="F42" s="2">
        <v>6.3</v>
      </c>
      <c r="G42" s="2">
        <v>0.2</v>
      </c>
      <c r="H42" s="2">
        <v>10.050000000000001</v>
      </c>
      <c r="I42" s="2">
        <v>-0.30599999999999999</v>
      </c>
      <c r="J42" s="2">
        <v>35.470999999999997</v>
      </c>
      <c r="K42" s="3">
        <v>7.7386999999999993E-6</v>
      </c>
      <c r="L42" s="2">
        <v>4.0316000000000001</v>
      </c>
      <c r="M42" s="3">
        <v>2.862E-3</v>
      </c>
      <c r="N42" s="3">
        <v>6.3632000000000003E-6</v>
      </c>
      <c r="O42" s="3">
        <v>1.1881000000000001E-3</v>
      </c>
    </row>
    <row r="43" spans="1:15" ht="15.75">
      <c r="A43" s="2">
        <v>64.099999999999994</v>
      </c>
      <c r="B43" s="2">
        <v>2</v>
      </c>
      <c r="C43" s="2">
        <v>14</v>
      </c>
      <c r="D43" s="2">
        <v>4.9000000000000004</v>
      </c>
      <c r="E43" s="2">
        <v>18</v>
      </c>
      <c r="F43" s="2">
        <v>6.84</v>
      </c>
      <c r="G43" s="2">
        <v>0.2</v>
      </c>
      <c r="H43" s="2">
        <v>10.1</v>
      </c>
      <c r="I43" s="2">
        <v>-0.31</v>
      </c>
      <c r="J43" s="2">
        <v>32.247</v>
      </c>
      <c r="K43" s="3">
        <v>8.0915000000000004E-6</v>
      </c>
      <c r="L43" s="2">
        <v>4.0156000000000001</v>
      </c>
      <c r="M43" s="3">
        <v>2.8546999999999999E-3</v>
      </c>
      <c r="N43" s="3">
        <v>3.6239999999999999E-6</v>
      </c>
      <c r="O43" s="3">
        <v>1.1888999999999999E-3</v>
      </c>
    </row>
    <row r="44" spans="1:15" ht="15.75">
      <c r="A44" s="2">
        <v>64.099999999999994</v>
      </c>
      <c r="B44" s="2">
        <v>2</v>
      </c>
      <c r="C44" s="2">
        <v>14</v>
      </c>
      <c r="D44" s="2">
        <v>5.32</v>
      </c>
      <c r="E44" s="2">
        <v>18</v>
      </c>
      <c r="F44" s="2">
        <v>6.3</v>
      </c>
      <c r="G44" s="2">
        <v>0.2</v>
      </c>
      <c r="H44" s="2">
        <v>9.93</v>
      </c>
      <c r="I44" s="2">
        <v>-0.3</v>
      </c>
      <c r="J44" s="2">
        <v>34.658999999999999</v>
      </c>
      <c r="K44" s="3">
        <v>6.1744999999999999E-6</v>
      </c>
      <c r="L44" s="2">
        <v>4.0574000000000003</v>
      </c>
      <c r="M44" s="3">
        <v>2.8933000000000001E-3</v>
      </c>
      <c r="N44" s="3">
        <v>3.2976E-6</v>
      </c>
      <c r="O44" s="3">
        <v>1.1918E-3</v>
      </c>
    </row>
    <row r="45" spans="1:15" ht="15.75">
      <c r="A45" s="2">
        <v>64.099999999999994</v>
      </c>
      <c r="B45" s="2">
        <v>2</v>
      </c>
      <c r="C45" s="2">
        <v>14</v>
      </c>
      <c r="D45" s="2">
        <v>5.32</v>
      </c>
      <c r="E45" s="2">
        <v>18</v>
      </c>
      <c r="F45" s="2">
        <v>6.84</v>
      </c>
      <c r="G45" s="2">
        <v>0.2</v>
      </c>
      <c r="H45" s="2">
        <v>9.98</v>
      </c>
      <c r="I45" s="2">
        <v>-0.30399999999999999</v>
      </c>
      <c r="J45" s="2">
        <v>32.887999999999998</v>
      </c>
      <c r="K45" s="3">
        <v>1.2235999999999999E-5</v>
      </c>
      <c r="L45" s="2">
        <v>3.9838</v>
      </c>
      <c r="M45" s="3">
        <v>2.8846000000000002E-3</v>
      </c>
      <c r="N45" s="3">
        <v>4.2575999999999997E-6</v>
      </c>
      <c r="O45" s="3">
        <v>1.1936E-3</v>
      </c>
    </row>
    <row r="46" spans="1:15" ht="15.75">
      <c r="A46" s="2">
        <v>65.400000000000006</v>
      </c>
      <c r="B46" s="2">
        <v>2</v>
      </c>
      <c r="C46" s="2">
        <v>14</v>
      </c>
      <c r="D46" s="2">
        <v>4.9000000000000004</v>
      </c>
      <c r="E46" s="2">
        <v>20</v>
      </c>
      <c r="F46" s="2">
        <v>7</v>
      </c>
      <c r="G46" s="2">
        <v>0.2</v>
      </c>
      <c r="H46" s="2">
        <v>8.32</v>
      </c>
      <c r="I46" s="2">
        <v>-0.29099999999999998</v>
      </c>
      <c r="J46" s="2">
        <v>38.773000000000003</v>
      </c>
      <c r="K46" s="3">
        <v>1.0390999999999999E-6</v>
      </c>
      <c r="L46" s="2">
        <v>4.3433000000000002</v>
      </c>
      <c r="M46" s="3">
        <v>3.4653000000000002E-3</v>
      </c>
      <c r="N46" s="3">
        <v>6.7150000000000001E-6</v>
      </c>
      <c r="O46" s="3">
        <v>1.3752E-3</v>
      </c>
    </row>
    <row r="47" spans="1:15" ht="15.75">
      <c r="A47" s="2">
        <v>65.400000000000006</v>
      </c>
      <c r="B47" s="2">
        <v>2</v>
      </c>
      <c r="C47" s="14">
        <v>14</v>
      </c>
      <c r="D47" s="14">
        <v>4.9000000000000004</v>
      </c>
      <c r="E47" s="14">
        <v>20</v>
      </c>
      <c r="F47" s="14">
        <v>7.6</v>
      </c>
      <c r="G47" s="2">
        <v>0.2</v>
      </c>
      <c r="H47" s="2">
        <v>8.36</v>
      </c>
      <c r="I47" s="2">
        <v>-0.29499999999999998</v>
      </c>
      <c r="J47" s="2">
        <v>38.979999999999997</v>
      </c>
      <c r="K47" s="3">
        <v>2.0878999999999999E-6</v>
      </c>
      <c r="L47" s="2">
        <v>4.3745000000000003</v>
      </c>
      <c r="M47" s="3">
        <v>3.4558000000000002E-3</v>
      </c>
      <c r="N47" s="3">
        <v>4.8932E-6</v>
      </c>
      <c r="O47" s="3">
        <v>1.3721E-3</v>
      </c>
    </row>
    <row r="48" spans="1:15" ht="15.75">
      <c r="A48" s="2">
        <v>65.400000000000006</v>
      </c>
      <c r="B48" s="2">
        <v>2</v>
      </c>
      <c r="C48" s="14">
        <v>14</v>
      </c>
      <c r="D48" s="14">
        <v>5.32</v>
      </c>
      <c r="E48" s="14">
        <v>20</v>
      </c>
      <c r="F48" s="14">
        <v>7</v>
      </c>
      <c r="G48" s="2">
        <v>0.2</v>
      </c>
      <c r="H48" s="2">
        <v>8.24</v>
      </c>
      <c r="I48" s="2">
        <v>-0.28399999999999997</v>
      </c>
      <c r="J48" s="2">
        <v>38.268999999999998</v>
      </c>
      <c r="K48" s="3">
        <v>1.4646999999999999E-6</v>
      </c>
      <c r="L48" s="2">
        <v>4.3525</v>
      </c>
      <c r="M48" s="3">
        <v>3.4935999999999999E-3</v>
      </c>
      <c r="N48" s="3">
        <v>3.2283999999999999E-6</v>
      </c>
      <c r="O48" s="3">
        <v>1.3795000000000001E-3</v>
      </c>
    </row>
    <row r="49" spans="1:15" ht="15.75">
      <c r="A49" s="2">
        <v>65.400000000000006</v>
      </c>
      <c r="B49" s="2">
        <v>2</v>
      </c>
      <c r="C49" s="5">
        <v>14</v>
      </c>
      <c r="D49" s="5">
        <v>5.32</v>
      </c>
      <c r="E49" s="5">
        <v>20</v>
      </c>
      <c r="F49" s="5">
        <v>7.6</v>
      </c>
      <c r="G49" s="2">
        <v>0.2</v>
      </c>
      <c r="H49" s="2">
        <v>8.24</v>
      </c>
      <c r="I49" s="2">
        <v>-0.28399999999999997</v>
      </c>
      <c r="J49" s="2">
        <v>40.549999999999997</v>
      </c>
      <c r="K49" s="3">
        <v>1.5373000000000001E-6</v>
      </c>
      <c r="L49" s="2">
        <v>4.3556999999999997</v>
      </c>
      <c r="M49" s="3">
        <v>3.4935999999999999E-3</v>
      </c>
      <c r="N49" s="3">
        <v>4.9929000000000001E-6</v>
      </c>
      <c r="O49" s="3">
        <v>1.3806000000000001E-3</v>
      </c>
    </row>
    <row r="50" spans="1:15" ht="15.75">
      <c r="A50" s="2">
        <v>51.8</v>
      </c>
      <c r="B50" s="2">
        <v>2.5</v>
      </c>
      <c r="C50" s="2">
        <v>14</v>
      </c>
      <c r="D50" s="2">
        <v>4.9000000000000004</v>
      </c>
      <c r="E50" s="2">
        <v>14</v>
      </c>
      <c r="F50" s="2">
        <v>4.9000000000000004</v>
      </c>
      <c r="G50" s="2">
        <v>0.2</v>
      </c>
      <c r="H50" s="2">
        <v>25.07</v>
      </c>
      <c r="I50" s="2">
        <v>-0.221</v>
      </c>
      <c r="J50" s="2">
        <v>17.695</v>
      </c>
      <c r="K50" s="3">
        <v>8.1419000000000001E-4</v>
      </c>
      <c r="L50" s="2">
        <v>2.5344000000000002</v>
      </c>
      <c r="M50" s="3">
        <v>1.1287999999999999E-3</v>
      </c>
      <c r="N50" s="3">
        <v>2.6137000000000001E-6</v>
      </c>
      <c r="O50" s="3">
        <v>5.4253999999999999E-4</v>
      </c>
    </row>
    <row r="51" spans="1:15" ht="15.75">
      <c r="A51" s="2">
        <v>51.8</v>
      </c>
      <c r="B51" s="2">
        <v>2.5</v>
      </c>
      <c r="C51" s="2">
        <v>14</v>
      </c>
      <c r="D51" s="2">
        <v>4.9000000000000004</v>
      </c>
      <c r="E51" s="2">
        <v>14</v>
      </c>
      <c r="F51" s="2">
        <v>5.32</v>
      </c>
      <c r="G51" s="2">
        <v>0.2</v>
      </c>
      <c r="H51" s="2">
        <v>25.16</v>
      </c>
      <c r="I51" s="2">
        <v>-0.224</v>
      </c>
      <c r="J51" s="2">
        <v>18.257000000000001</v>
      </c>
      <c r="K51" s="3">
        <v>8.8382E-4</v>
      </c>
      <c r="L51" s="2">
        <v>2.5246</v>
      </c>
      <c r="M51" s="3">
        <v>1.1259E-3</v>
      </c>
      <c r="N51" s="3">
        <v>3.642E-6</v>
      </c>
      <c r="O51" s="3">
        <v>5.4361000000000004E-4</v>
      </c>
    </row>
    <row r="52" spans="1:15" ht="15.75">
      <c r="A52" s="2">
        <v>51.8</v>
      </c>
      <c r="B52" s="2">
        <v>2.5</v>
      </c>
      <c r="C52" s="2">
        <v>14</v>
      </c>
      <c r="D52" s="2">
        <v>5.32</v>
      </c>
      <c r="E52" s="2">
        <v>14</v>
      </c>
      <c r="F52" s="2">
        <v>4.9000000000000004</v>
      </c>
      <c r="G52" s="2">
        <v>0.2</v>
      </c>
      <c r="H52" s="2">
        <v>24.76</v>
      </c>
      <c r="I52" s="2">
        <v>-0.219</v>
      </c>
      <c r="J52" s="2">
        <v>16.010000000000002</v>
      </c>
      <c r="K52" s="3">
        <v>6.8716000000000003E-4</v>
      </c>
      <c r="L52" s="2">
        <v>2.5295000000000001</v>
      </c>
      <c r="M52" s="3">
        <v>1.1435E-3</v>
      </c>
      <c r="N52" s="3">
        <v>3.8979000000000001E-8</v>
      </c>
      <c r="O52" s="3">
        <v>5.4326000000000005E-4</v>
      </c>
    </row>
    <row r="53" spans="1:15" ht="15.75">
      <c r="A53" s="2">
        <v>51.8</v>
      </c>
      <c r="B53" s="2">
        <v>2.5</v>
      </c>
      <c r="C53" s="2">
        <v>14</v>
      </c>
      <c r="D53" s="2">
        <v>5.32</v>
      </c>
      <c r="E53" s="2">
        <v>14</v>
      </c>
      <c r="F53" s="2">
        <v>5.32</v>
      </c>
      <c r="G53" s="2">
        <v>0.2</v>
      </c>
      <c r="H53" s="2">
        <v>24.85</v>
      </c>
      <c r="I53" s="2">
        <v>-0.222</v>
      </c>
      <c r="J53" s="2">
        <v>18.963000000000001</v>
      </c>
      <c r="K53" s="3">
        <v>1.2857999999999999E-3</v>
      </c>
      <c r="L53" s="2">
        <v>2.5341</v>
      </c>
      <c r="M53" s="3">
        <v>1.1402000000000001E-3</v>
      </c>
      <c r="N53" s="3">
        <v>2.5666000000000001E-6</v>
      </c>
      <c r="O53" s="3">
        <v>5.4295999999999999E-4</v>
      </c>
    </row>
    <row r="54" spans="1:15" ht="15.75">
      <c r="A54" s="2">
        <v>54.4</v>
      </c>
      <c r="B54" s="2">
        <v>2.5</v>
      </c>
      <c r="C54" s="2">
        <v>14</v>
      </c>
      <c r="D54" s="2">
        <v>4.9000000000000004</v>
      </c>
      <c r="E54" s="2">
        <v>16</v>
      </c>
      <c r="F54" s="2">
        <v>5.6</v>
      </c>
      <c r="G54" s="2">
        <v>0.2</v>
      </c>
      <c r="H54" s="2">
        <v>20.28</v>
      </c>
      <c r="I54" s="2">
        <v>-0.22900000000000001</v>
      </c>
      <c r="J54" s="2">
        <v>22.103000000000002</v>
      </c>
      <c r="K54" s="3">
        <v>2.6732999999999998E-4</v>
      </c>
      <c r="L54" s="2">
        <v>2.7509000000000001</v>
      </c>
      <c r="M54" s="3">
        <v>1.4005999999999999E-3</v>
      </c>
      <c r="N54" s="3">
        <v>2.1053E-6</v>
      </c>
      <c r="O54" s="3">
        <v>6.378E-4</v>
      </c>
    </row>
    <row r="55" spans="1:15" ht="15.75">
      <c r="A55" s="2">
        <v>54.4</v>
      </c>
      <c r="B55" s="2">
        <v>2.5</v>
      </c>
      <c r="C55" s="2">
        <v>14</v>
      </c>
      <c r="D55" s="2">
        <v>4.9000000000000004</v>
      </c>
      <c r="E55" s="2">
        <v>16</v>
      </c>
      <c r="F55" s="2">
        <v>6.08</v>
      </c>
      <c r="G55" s="2">
        <v>0.2</v>
      </c>
      <c r="H55" s="2">
        <v>20.36</v>
      </c>
      <c r="I55" s="2">
        <v>-0.23200000000000001</v>
      </c>
      <c r="J55" s="2">
        <v>22.312999999999999</v>
      </c>
      <c r="K55" s="3">
        <v>3.3391999999999997E-4</v>
      </c>
      <c r="L55" s="2">
        <v>2.7654999999999998</v>
      </c>
      <c r="M55" s="3">
        <v>1.3974E-3</v>
      </c>
      <c r="N55" s="3">
        <v>8.2939999999999995E-7</v>
      </c>
      <c r="O55" s="3">
        <v>6.3988000000000001E-4</v>
      </c>
    </row>
    <row r="56" spans="1:15" ht="15.75">
      <c r="A56" s="2">
        <v>54.4</v>
      </c>
      <c r="B56" s="2">
        <v>2.5</v>
      </c>
      <c r="C56" s="2">
        <v>14</v>
      </c>
      <c r="D56" s="2">
        <v>5.32</v>
      </c>
      <c r="E56" s="2">
        <v>16</v>
      </c>
      <c r="F56" s="2">
        <v>5.6</v>
      </c>
      <c r="G56" s="2">
        <v>0.2</v>
      </c>
      <c r="H56" s="2">
        <v>20.04</v>
      </c>
      <c r="I56" s="2">
        <v>-0.22500000000000001</v>
      </c>
      <c r="J56" s="2">
        <v>22.283000000000001</v>
      </c>
      <c r="K56" s="3">
        <v>1.4541000000000001E-4</v>
      </c>
      <c r="L56" s="2">
        <v>2.7469000000000001</v>
      </c>
      <c r="M56" s="3">
        <v>1.4174000000000001E-3</v>
      </c>
      <c r="N56" s="3">
        <v>8.7000000000000003E-7</v>
      </c>
      <c r="O56" s="3">
        <v>6.4079999999999996E-4</v>
      </c>
    </row>
    <row r="57" spans="1:15" ht="15.75">
      <c r="A57" s="2">
        <v>54.4</v>
      </c>
      <c r="B57" s="2">
        <v>2.5</v>
      </c>
      <c r="C57" s="2">
        <v>14</v>
      </c>
      <c r="D57" s="2">
        <v>5.32</v>
      </c>
      <c r="E57" s="2">
        <v>16</v>
      </c>
      <c r="F57" s="2">
        <v>6.08</v>
      </c>
      <c r="G57" s="2">
        <v>0.2</v>
      </c>
      <c r="H57" s="2">
        <v>20.12</v>
      </c>
      <c r="I57" s="2">
        <v>-0.22900000000000001</v>
      </c>
      <c r="J57" s="2">
        <v>22.513000000000002</v>
      </c>
      <c r="K57" s="3">
        <v>4.3333999999999999E-4</v>
      </c>
      <c r="L57" s="2">
        <v>2.8081</v>
      </c>
      <c r="M57" s="3">
        <v>1.4136999999999999E-3</v>
      </c>
      <c r="N57" s="3">
        <v>1.1074E-6</v>
      </c>
      <c r="O57" s="3">
        <v>6.4066999999999998E-4</v>
      </c>
    </row>
    <row r="58" spans="1:15" ht="15.75">
      <c r="A58" s="2">
        <v>56.3</v>
      </c>
      <c r="B58" s="2">
        <v>2.5</v>
      </c>
      <c r="C58" s="2">
        <v>14</v>
      </c>
      <c r="D58" s="2">
        <v>4.9000000000000004</v>
      </c>
      <c r="E58" s="2">
        <v>18</v>
      </c>
      <c r="F58" s="2">
        <v>6.3</v>
      </c>
      <c r="G58" s="2">
        <v>0.2</v>
      </c>
      <c r="H58" s="2">
        <v>16.72</v>
      </c>
      <c r="I58" s="2">
        <v>-0.23</v>
      </c>
      <c r="J58" s="2">
        <v>24.946000000000002</v>
      </c>
      <c r="K58" s="3">
        <v>7.9773999999999999E-5</v>
      </c>
      <c r="L58" s="2">
        <v>2.9807999999999999</v>
      </c>
      <c r="M58" s="3">
        <v>1.7053000000000001E-3</v>
      </c>
      <c r="N58" s="3">
        <v>1.4249E-7</v>
      </c>
      <c r="O58" s="3">
        <v>7.4047000000000002E-4</v>
      </c>
    </row>
    <row r="59" spans="1:15" ht="15.75">
      <c r="A59" s="2">
        <v>56.3</v>
      </c>
      <c r="B59" s="2">
        <v>2.5</v>
      </c>
      <c r="C59" s="2">
        <v>14</v>
      </c>
      <c r="D59" s="2">
        <v>4.9000000000000004</v>
      </c>
      <c r="E59" s="2">
        <v>18</v>
      </c>
      <c r="F59" s="2">
        <v>6.84</v>
      </c>
      <c r="G59" s="2">
        <v>0.2</v>
      </c>
      <c r="H59" s="2">
        <v>16.79</v>
      </c>
      <c r="I59" s="2">
        <v>-0.23300000000000001</v>
      </c>
      <c r="J59" s="2">
        <v>24.864999999999998</v>
      </c>
      <c r="K59" s="3">
        <v>1.4234999999999999E-4</v>
      </c>
      <c r="L59" s="2">
        <v>2.9477000000000002</v>
      </c>
      <c r="M59" s="3">
        <v>1.7002E-3</v>
      </c>
      <c r="N59" s="3">
        <v>3.6768999999999998E-7</v>
      </c>
      <c r="O59" s="3">
        <v>7.4061999999999999E-4</v>
      </c>
    </row>
    <row r="60" spans="1:15" ht="15.75">
      <c r="A60" s="2">
        <v>56.3</v>
      </c>
      <c r="B60" s="2">
        <v>2.5</v>
      </c>
      <c r="C60" s="2">
        <v>14</v>
      </c>
      <c r="D60" s="2">
        <v>5.32</v>
      </c>
      <c r="E60" s="2">
        <v>18</v>
      </c>
      <c r="F60" s="2">
        <v>6.3</v>
      </c>
      <c r="G60" s="2">
        <v>0.2</v>
      </c>
      <c r="H60" s="2">
        <v>16.54</v>
      </c>
      <c r="I60" s="2">
        <v>-0.22500000000000001</v>
      </c>
      <c r="J60" s="2">
        <v>22.908999999999999</v>
      </c>
      <c r="K60" s="3">
        <v>6.2652999999999998E-5</v>
      </c>
      <c r="L60" s="2">
        <v>2.9922</v>
      </c>
      <c r="M60" s="3">
        <v>1.7224E-3</v>
      </c>
      <c r="N60" s="3">
        <v>1.0503999999999999E-6</v>
      </c>
      <c r="O60" s="3">
        <v>7.4328000000000003E-4</v>
      </c>
    </row>
    <row r="61" spans="1:15" ht="15.75">
      <c r="A61" s="2">
        <v>56.3</v>
      </c>
      <c r="B61" s="2">
        <v>2.5</v>
      </c>
      <c r="C61" s="2">
        <v>14</v>
      </c>
      <c r="D61" s="2">
        <v>5.32</v>
      </c>
      <c r="E61" s="2">
        <v>18</v>
      </c>
      <c r="F61" s="2">
        <v>6.84</v>
      </c>
      <c r="G61" s="2">
        <v>0.2</v>
      </c>
      <c r="H61" s="2">
        <v>16.61</v>
      </c>
      <c r="I61" s="2">
        <v>-0.22800000000000001</v>
      </c>
      <c r="J61" s="2">
        <v>22.885999999999999</v>
      </c>
      <c r="K61" s="3">
        <v>1.8222E-4</v>
      </c>
      <c r="L61" s="2">
        <v>2.9967000000000001</v>
      </c>
      <c r="M61" s="3">
        <v>1.7179999999999999E-3</v>
      </c>
      <c r="N61" s="3">
        <v>8.0093000000000001E-7</v>
      </c>
      <c r="O61" s="3">
        <v>7.4370999999999997E-4</v>
      </c>
    </row>
    <row r="62" spans="1:15" ht="15.75">
      <c r="A62" s="2">
        <v>57.9</v>
      </c>
      <c r="B62" s="2">
        <v>2.5</v>
      </c>
      <c r="C62" s="2">
        <v>14</v>
      </c>
      <c r="D62" s="2">
        <v>4.9000000000000004</v>
      </c>
      <c r="E62" s="2">
        <v>20</v>
      </c>
      <c r="F62" s="2">
        <v>7</v>
      </c>
      <c r="G62" s="2">
        <v>0.2</v>
      </c>
      <c r="H62" s="2">
        <v>14</v>
      </c>
      <c r="I62" s="2">
        <v>-0.22500000000000001</v>
      </c>
      <c r="J62" s="2">
        <v>24.457999999999998</v>
      </c>
      <c r="K62" s="3">
        <v>9.2019999999999993E-6</v>
      </c>
      <c r="L62" s="2">
        <v>3.1242000000000001</v>
      </c>
      <c r="M62" s="3">
        <v>2.0412999999999998E-3</v>
      </c>
      <c r="N62" s="3">
        <v>2.3033E-6</v>
      </c>
      <c r="O62" s="3">
        <v>8.5052999999999995E-4</v>
      </c>
    </row>
    <row r="63" spans="1:15" ht="15.75">
      <c r="A63" s="2">
        <v>57.9</v>
      </c>
      <c r="B63" s="2">
        <v>2.5</v>
      </c>
      <c r="C63" s="2">
        <v>14</v>
      </c>
      <c r="D63" s="2">
        <v>4.9000000000000004</v>
      </c>
      <c r="E63" s="2">
        <v>20</v>
      </c>
      <c r="F63" s="2">
        <v>7.6</v>
      </c>
      <c r="G63" s="2">
        <v>0.2</v>
      </c>
      <c r="H63" s="2">
        <v>14.06</v>
      </c>
      <c r="I63" s="2">
        <v>-0.22900000000000001</v>
      </c>
      <c r="J63" s="2">
        <v>28.715</v>
      </c>
      <c r="K63" s="3">
        <v>3.0069999999999998E-5</v>
      </c>
      <c r="L63" s="2">
        <v>3.2421000000000002</v>
      </c>
      <c r="M63" s="3">
        <v>2.0360999999999999E-3</v>
      </c>
      <c r="N63" s="3">
        <v>4.4031000000000002E-6</v>
      </c>
      <c r="O63" s="3">
        <v>8.4845000000000005E-4</v>
      </c>
    </row>
    <row r="64" spans="1:15" ht="15.75">
      <c r="A64" s="2">
        <v>57.9</v>
      </c>
      <c r="B64" s="2">
        <v>2.5</v>
      </c>
      <c r="C64" s="2">
        <v>14</v>
      </c>
      <c r="D64" s="2">
        <v>5.32</v>
      </c>
      <c r="E64" s="2">
        <v>20</v>
      </c>
      <c r="F64" s="2">
        <v>7</v>
      </c>
      <c r="G64" s="2">
        <v>0.2</v>
      </c>
      <c r="H64" s="2">
        <v>13.89</v>
      </c>
      <c r="I64" s="2">
        <v>-0.219</v>
      </c>
      <c r="J64" s="2">
        <v>29.33</v>
      </c>
      <c r="K64" s="3">
        <v>1.1549000000000001E-5</v>
      </c>
      <c r="L64" s="2">
        <v>3.22</v>
      </c>
      <c r="M64" s="3">
        <v>2.0569E-3</v>
      </c>
      <c r="N64" s="3">
        <v>8.4055000000000005E-7</v>
      </c>
      <c r="O64" s="3">
        <v>8.5165999999999996E-4</v>
      </c>
    </row>
    <row r="65" spans="1:15" ht="15.75">
      <c r="A65" s="2">
        <v>57.9</v>
      </c>
      <c r="B65" s="2">
        <v>2.5</v>
      </c>
      <c r="C65" s="13">
        <v>14</v>
      </c>
      <c r="D65" s="13">
        <v>5.32</v>
      </c>
      <c r="E65" s="13">
        <v>20</v>
      </c>
      <c r="F65" s="13">
        <v>7.6</v>
      </c>
      <c r="G65" s="2">
        <v>0.2</v>
      </c>
      <c r="H65" s="2">
        <v>13.89</v>
      </c>
      <c r="I65" s="2">
        <v>-0.219</v>
      </c>
      <c r="J65" s="2">
        <v>30.356000000000002</v>
      </c>
      <c r="K65" s="3">
        <v>2.3011999999999999E-5</v>
      </c>
      <c r="L65" s="2">
        <v>3.2273000000000001</v>
      </c>
      <c r="M65" s="3">
        <v>2.0571000000000001E-3</v>
      </c>
      <c r="N65" s="3">
        <v>1.9458999999999999E-6</v>
      </c>
      <c r="O65" s="3">
        <v>8.4999000000000001E-4</v>
      </c>
    </row>
    <row r="66" spans="1:15" ht="15.75">
      <c r="A66" s="2">
        <v>44.1</v>
      </c>
      <c r="B66" s="2">
        <v>3</v>
      </c>
      <c r="C66" s="2">
        <v>14</v>
      </c>
      <c r="D66" s="2">
        <v>4.9000000000000004</v>
      </c>
      <c r="E66" s="2">
        <v>14</v>
      </c>
      <c r="F66" s="2">
        <v>4.9000000000000004</v>
      </c>
      <c r="G66" s="2">
        <v>0.2</v>
      </c>
      <c r="H66" s="2">
        <v>36.29</v>
      </c>
      <c r="I66" s="2">
        <v>-0.11700000000000001</v>
      </c>
      <c r="J66" s="2">
        <v>13.601000000000001</v>
      </c>
      <c r="K66" s="3">
        <v>1.4509E-3</v>
      </c>
      <c r="L66" s="2">
        <v>2.0234000000000001</v>
      </c>
      <c r="M66" s="3">
        <v>7.7486999999999999E-4</v>
      </c>
      <c r="N66" s="3">
        <v>1.1104E-6</v>
      </c>
      <c r="O66" s="3">
        <v>3.9334999999999999E-4</v>
      </c>
    </row>
    <row r="67" spans="1:15" ht="15.75">
      <c r="A67" s="2">
        <v>44.1</v>
      </c>
      <c r="B67" s="2">
        <v>3</v>
      </c>
      <c r="C67" s="2">
        <v>14</v>
      </c>
      <c r="D67" s="2">
        <v>4.9000000000000004</v>
      </c>
      <c r="E67" s="2">
        <v>14</v>
      </c>
      <c r="F67" s="2">
        <v>5.32</v>
      </c>
      <c r="G67" s="2">
        <v>0.2</v>
      </c>
      <c r="H67" s="2">
        <v>36.380000000000003</v>
      </c>
      <c r="I67" s="2">
        <v>-0.12</v>
      </c>
      <c r="J67" s="2">
        <v>13.936</v>
      </c>
      <c r="K67" s="3">
        <v>1.5522000000000001E-3</v>
      </c>
      <c r="L67" s="2">
        <v>2.0230999999999999</v>
      </c>
      <c r="M67" s="3">
        <v>7.7331000000000003E-4</v>
      </c>
      <c r="N67" s="3">
        <v>1.5336E-6</v>
      </c>
      <c r="O67" s="3">
        <v>3.9400999999999998E-4</v>
      </c>
    </row>
    <row r="68" spans="1:15" ht="15.75">
      <c r="A68" s="2">
        <v>44.1</v>
      </c>
      <c r="B68" s="2">
        <v>3</v>
      </c>
      <c r="C68" s="2">
        <v>14</v>
      </c>
      <c r="D68" s="2">
        <v>5.32</v>
      </c>
      <c r="E68" s="2">
        <v>14</v>
      </c>
      <c r="F68" s="2">
        <v>4.9000000000000004</v>
      </c>
      <c r="G68" s="2">
        <v>0.2</v>
      </c>
      <c r="H68" s="2">
        <v>35.86</v>
      </c>
      <c r="I68" s="2">
        <v>-0.11600000000000001</v>
      </c>
      <c r="J68" s="2">
        <v>14.247999999999999</v>
      </c>
      <c r="K68" s="3">
        <v>1.4973E-3</v>
      </c>
      <c r="L68" s="2">
        <v>2.0278</v>
      </c>
      <c r="M68" s="3">
        <v>7.8437999999999999E-4</v>
      </c>
      <c r="N68" s="3">
        <v>1.1343000000000001E-6</v>
      </c>
      <c r="O68" s="3">
        <v>3.9334999999999999E-4</v>
      </c>
    </row>
    <row r="69" spans="1:15" ht="15.75">
      <c r="A69" s="2">
        <v>44.1</v>
      </c>
      <c r="B69" s="2">
        <v>3</v>
      </c>
      <c r="C69" s="2">
        <v>14</v>
      </c>
      <c r="D69" s="2">
        <v>5.32</v>
      </c>
      <c r="E69" s="2">
        <v>14</v>
      </c>
      <c r="F69" s="2">
        <v>5.32</v>
      </c>
      <c r="G69" s="2">
        <v>0.2</v>
      </c>
      <c r="H69" s="2">
        <v>35.96</v>
      </c>
      <c r="I69" s="2">
        <v>-0.11899999999999999</v>
      </c>
      <c r="J69" s="2">
        <v>12.423999999999999</v>
      </c>
      <c r="K69" s="3">
        <v>2.0703000000000002E-3</v>
      </c>
      <c r="L69" s="2">
        <v>2.0209000000000001</v>
      </c>
      <c r="M69" s="3">
        <v>7.8268999999999995E-4</v>
      </c>
      <c r="N69" s="3">
        <v>4.8994999999999996E-7</v>
      </c>
      <c r="O69" s="3">
        <v>3.9402000000000003E-4</v>
      </c>
    </row>
    <row r="70" spans="1:15" ht="15.75">
      <c r="A70" s="2">
        <v>46.9</v>
      </c>
      <c r="B70" s="2">
        <v>3</v>
      </c>
      <c r="C70" s="2">
        <v>14</v>
      </c>
      <c r="D70" s="2">
        <v>4.9000000000000004</v>
      </c>
      <c r="E70" s="2">
        <v>16</v>
      </c>
      <c r="F70" s="2">
        <v>5.6</v>
      </c>
      <c r="G70" s="2">
        <v>0.2</v>
      </c>
      <c r="H70" s="2">
        <v>29.72</v>
      </c>
      <c r="I70" s="2">
        <v>-0.13800000000000001</v>
      </c>
      <c r="J70" s="2">
        <v>14.456</v>
      </c>
      <c r="K70" s="3">
        <v>8.8321000000000005E-4</v>
      </c>
      <c r="L70" s="2">
        <v>2.1932999999999998</v>
      </c>
      <c r="M70" s="3">
        <v>9.4886000000000005E-4</v>
      </c>
      <c r="N70" s="3">
        <v>1.4554000000000001E-6</v>
      </c>
      <c r="O70" s="3">
        <v>4.5752E-4</v>
      </c>
    </row>
    <row r="71" spans="1:15" ht="15.75">
      <c r="A71" s="2">
        <v>46.9</v>
      </c>
      <c r="B71" s="2">
        <v>3</v>
      </c>
      <c r="C71" s="2">
        <v>14</v>
      </c>
      <c r="D71" s="2">
        <v>4.9000000000000004</v>
      </c>
      <c r="E71" s="2">
        <v>16</v>
      </c>
      <c r="F71" s="2">
        <v>6.08</v>
      </c>
      <c r="G71" s="2">
        <v>0.2</v>
      </c>
      <c r="H71" s="2">
        <v>29.8</v>
      </c>
      <c r="I71" s="2">
        <v>-0.14099999999999999</v>
      </c>
      <c r="J71" s="2">
        <v>15.327</v>
      </c>
      <c r="K71" s="3">
        <v>1.3971000000000001E-3</v>
      </c>
      <c r="L71" s="2">
        <v>2.2301000000000002</v>
      </c>
      <c r="M71" s="3">
        <v>9.4680999999999997E-4</v>
      </c>
      <c r="N71" s="3">
        <v>1.1882999999999999E-6</v>
      </c>
      <c r="O71" s="3">
        <v>4.5766999999999997E-4</v>
      </c>
    </row>
    <row r="72" spans="1:15" ht="15.75">
      <c r="A72" s="2">
        <v>46.9</v>
      </c>
      <c r="B72" s="2">
        <v>3</v>
      </c>
      <c r="C72" s="2">
        <v>14</v>
      </c>
      <c r="D72" s="2">
        <v>5.32</v>
      </c>
      <c r="E72" s="2">
        <v>16</v>
      </c>
      <c r="F72" s="2">
        <v>5.6</v>
      </c>
      <c r="G72" s="2">
        <v>0.2</v>
      </c>
      <c r="H72" s="2">
        <v>29.39</v>
      </c>
      <c r="I72" s="2">
        <v>-0.13600000000000001</v>
      </c>
      <c r="J72" s="2">
        <v>15.356</v>
      </c>
      <c r="K72" s="3">
        <v>4.3534999999999998E-4</v>
      </c>
      <c r="L72" s="2">
        <v>2.1957</v>
      </c>
      <c r="M72" s="3">
        <v>9.5951000000000001E-4</v>
      </c>
      <c r="N72" s="3">
        <v>3.6992999999999998E-9</v>
      </c>
      <c r="O72" s="3">
        <v>4.5729000000000001E-4</v>
      </c>
    </row>
    <row r="73" spans="1:15" ht="15.75">
      <c r="A73" s="2">
        <v>46.9</v>
      </c>
      <c r="B73" s="2">
        <v>3</v>
      </c>
      <c r="C73" s="2">
        <v>14</v>
      </c>
      <c r="D73" s="2">
        <v>5.32</v>
      </c>
      <c r="E73" s="2">
        <v>16</v>
      </c>
      <c r="F73" s="2">
        <v>6.08</v>
      </c>
      <c r="G73" s="2">
        <v>0.2</v>
      </c>
      <c r="H73" s="2">
        <v>29.47</v>
      </c>
      <c r="I73" s="2">
        <v>-0.13900000000000001</v>
      </c>
      <c r="J73" s="2">
        <v>16.234000000000002</v>
      </c>
      <c r="K73" s="3">
        <v>1.3393000000000001E-3</v>
      </c>
      <c r="L73" s="2">
        <v>2.2330999999999999</v>
      </c>
      <c r="M73" s="3">
        <v>9.5754E-4</v>
      </c>
      <c r="N73" s="3">
        <v>1.77E-6</v>
      </c>
      <c r="O73" s="3">
        <v>4.5916000000000002E-4</v>
      </c>
    </row>
    <row r="74" spans="1:15" ht="15.75">
      <c r="A74" s="2">
        <v>49.1</v>
      </c>
      <c r="B74" s="2">
        <v>3</v>
      </c>
      <c r="C74" s="2">
        <v>14</v>
      </c>
      <c r="D74" s="2">
        <v>4.9000000000000004</v>
      </c>
      <c r="E74" s="2">
        <v>18</v>
      </c>
      <c r="F74" s="2">
        <v>6.3</v>
      </c>
      <c r="G74" s="2">
        <v>0.2</v>
      </c>
      <c r="H74" s="2">
        <v>24.76</v>
      </c>
      <c r="I74" s="2">
        <v>-0.151</v>
      </c>
      <c r="J74" s="2">
        <v>19.058</v>
      </c>
      <c r="K74" s="3">
        <v>3.2547000000000001E-4</v>
      </c>
      <c r="L74" s="2">
        <v>2.3702999999999999</v>
      </c>
      <c r="M74" s="3">
        <v>1.1423E-3</v>
      </c>
      <c r="N74" s="3">
        <v>4.8907000000000002E-8</v>
      </c>
      <c r="O74" s="3">
        <v>5.2417999999999996E-4</v>
      </c>
    </row>
    <row r="75" spans="1:15" ht="15.75">
      <c r="A75" s="2">
        <v>49.1</v>
      </c>
      <c r="B75" s="2">
        <v>3</v>
      </c>
      <c r="C75" s="2">
        <v>14</v>
      </c>
      <c r="D75" s="2">
        <v>4.9000000000000004</v>
      </c>
      <c r="E75" s="2">
        <v>18</v>
      </c>
      <c r="F75" s="2">
        <v>6.84</v>
      </c>
      <c r="G75" s="2">
        <v>0.2</v>
      </c>
      <c r="H75" s="2">
        <v>24.84</v>
      </c>
      <c r="I75" s="2">
        <v>-0.154</v>
      </c>
      <c r="J75" s="2">
        <v>18.172000000000001</v>
      </c>
      <c r="K75" s="3">
        <v>4.3300000000000001E-4</v>
      </c>
      <c r="L75" s="2">
        <v>2.4136000000000002</v>
      </c>
      <c r="M75" s="3">
        <v>1.1395000000000001E-3</v>
      </c>
      <c r="N75" s="3">
        <v>8.5707000000000004E-7</v>
      </c>
      <c r="O75" s="3">
        <v>5.2515000000000005E-4</v>
      </c>
    </row>
    <row r="76" spans="1:15" ht="15.75">
      <c r="A76" s="2">
        <v>49.1</v>
      </c>
      <c r="B76" s="2">
        <v>3</v>
      </c>
      <c r="C76" s="2">
        <v>14</v>
      </c>
      <c r="D76" s="2">
        <v>5.32</v>
      </c>
      <c r="E76" s="2">
        <v>18</v>
      </c>
      <c r="F76" s="2">
        <v>6.3</v>
      </c>
      <c r="G76" s="2">
        <v>0.2</v>
      </c>
      <c r="H76" s="2">
        <v>24.52</v>
      </c>
      <c r="I76" s="2">
        <v>-0.14699999999999999</v>
      </c>
      <c r="J76" s="2">
        <v>17.428999999999998</v>
      </c>
      <c r="K76" s="3">
        <v>3.1406000000000001E-4</v>
      </c>
      <c r="L76" s="2">
        <v>2.3633000000000002</v>
      </c>
      <c r="M76" s="3">
        <v>1.1532999999999999E-3</v>
      </c>
      <c r="N76" s="3">
        <v>7.4783000000000005E-7</v>
      </c>
      <c r="O76" s="3">
        <v>5.2585999999999996E-4</v>
      </c>
    </row>
    <row r="77" spans="1:15" ht="15.75">
      <c r="A77" s="2">
        <v>49.1</v>
      </c>
      <c r="B77" s="2">
        <v>3</v>
      </c>
      <c r="C77" s="2">
        <v>14</v>
      </c>
      <c r="D77" s="2">
        <v>5.32</v>
      </c>
      <c r="E77" s="2">
        <v>18</v>
      </c>
      <c r="F77" s="2">
        <v>6.84</v>
      </c>
      <c r="G77" s="2">
        <v>0.2</v>
      </c>
      <c r="H77" s="2">
        <v>24.6</v>
      </c>
      <c r="I77" s="2">
        <v>-0.15</v>
      </c>
      <c r="J77" s="2">
        <v>18.885999999999999</v>
      </c>
      <c r="K77" s="3">
        <v>5.6729999999999997E-4</v>
      </c>
      <c r="L77" s="2">
        <v>2.3748</v>
      </c>
      <c r="M77" s="3">
        <v>1.1506000000000001E-3</v>
      </c>
      <c r="N77" s="3">
        <v>5.1529999999999996E-7</v>
      </c>
      <c r="O77" s="3">
        <v>5.2638999999999995E-4</v>
      </c>
    </row>
    <row r="78" spans="1:15" ht="15.75">
      <c r="A78" s="2">
        <v>50.8</v>
      </c>
      <c r="B78" s="2">
        <v>3</v>
      </c>
      <c r="C78" s="2">
        <v>14</v>
      </c>
      <c r="D78" s="2">
        <v>4.9000000000000004</v>
      </c>
      <c r="E78" s="2">
        <v>20</v>
      </c>
      <c r="F78" s="2">
        <v>7</v>
      </c>
      <c r="G78" s="2">
        <v>0.2</v>
      </c>
      <c r="H78" s="2">
        <v>20.95</v>
      </c>
      <c r="I78" s="2">
        <v>-0.156</v>
      </c>
      <c r="J78" s="2">
        <v>21.521000000000001</v>
      </c>
      <c r="K78" s="3">
        <v>6.2535999999999999E-5</v>
      </c>
      <c r="L78" s="2">
        <v>2.5045000000000002</v>
      </c>
      <c r="M78" s="3">
        <v>1.3537E-3</v>
      </c>
      <c r="N78" s="3">
        <v>1.8195999999999999E-6</v>
      </c>
      <c r="O78" s="3">
        <v>5.9515999999999996E-4</v>
      </c>
    </row>
    <row r="79" spans="1:15" ht="15.75">
      <c r="A79" s="2">
        <v>50.8</v>
      </c>
      <c r="B79" s="2">
        <v>3</v>
      </c>
      <c r="C79" s="2">
        <v>14</v>
      </c>
      <c r="D79" s="2">
        <v>4.9000000000000004</v>
      </c>
      <c r="E79" s="2">
        <v>20</v>
      </c>
      <c r="F79" s="2">
        <v>7.6</v>
      </c>
      <c r="G79" s="2">
        <v>0.2</v>
      </c>
      <c r="H79" s="2">
        <v>21.01</v>
      </c>
      <c r="I79" s="2">
        <v>-0.16</v>
      </c>
      <c r="J79" s="2">
        <v>18.998000000000001</v>
      </c>
      <c r="K79" s="3">
        <v>1.2621999999999999E-4</v>
      </c>
      <c r="L79" s="2">
        <v>2.5743999999999998</v>
      </c>
      <c r="M79" s="3">
        <v>1.3506E-3</v>
      </c>
      <c r="N79" s="3">
        <v>5.7299999999999996E-7</v>
      </c>
      <c r="O79" s="3">
        <v>5.9601000000000001E-4</v>
      </c>
    </row>
    <row r="80" spans="1:15" ht="15.75">
      <c r="A80" s="2">
        <v>50.8</v>
      </c>
      <c r="B80" s="2">
        <v>3</v>
      </c>
      <c r="C80" s="2">
        <v>14</v>
      </c>
      <c r="D80" s="2">
        <v>5.32</v>
      </c>
      <c r="E80" s="2">
        <v>20</v>
      </c>
      <c r="F80" s="2">
        <v>7</v>
      </c>
      <c r="G80" s="2">
        <v>0.2</v>
      </c>
      <c r="H80" s="2">
        <v>20.79</v>
      </c>
      <c r="I80" s="2">
        <v>-0.151</v>
      </c>
      <c r="J80" s="2">
        <v>20.425999999999998</v>
      </c>
      <c r="K80" s="3">
        <v>1.1054E-4</v>
      </c>
      <c r="L80" s="2">
        <v>2.4769000000000001</v>
      </c>
      <c r="M80" s="3">
        <v>1.3630999999999999E-3</v>
      </c>
      <c r="N80" s="3">
        <v>1.8432E-7</v>
      </c>
      <c r="O80" s="3">
        <v>5.9703000000000002E-4</v>
      </c>
    </row>
    <row r="81" spans="1:15" ht="15.75">
      <c r="A81" s="2">
        <v>50.8</v>
      </c>
      <c r="B81" s="2">
        <v>3</v>
      </c>
      <c r="C81" s="13">
        <v>14</v>
      </c>
      <c r="D81" s="13">
        <v>5.32</v>
      </c>
      <c r="E81" s="13">
        <v>20</v>
      </c>
      <c r="F81" s="13">
        <v>7.6</v>
      </c>
      <c r="G81" s="2">
        <v>0.2</v>
      </c>
      <c r="H81" s="2">
        <v>20.79</v>
      </c>
      <c r="I81" s="2">
        <v>-0.151</v>
      </c>
      <c r="J81" s="2">
        <v>20.536999999999999</v>
      </c>
      <c r="K81" s="3">
        <v>8.3566999999999995E-5</v>
      </c>
      <c r="L81" s="2">
        <v>2.4851999999999999</v>
      </c>
      <c r="M81" s="3">
        <v>1.3630999999999999E-3</v>
      </c>
      <c r="N81" s="3">
        <v>1.0004E-7</v>
      </c>
      <c r="O81" s="3">
        <v>5.9685999999999995E-4</v>
      </c>
    </row>
    <row r="82" spans="1:15" ht="15.75">
      <c r="A82" s="2">
        <v>80.099999999999994</v>
      </c>
      <c r="B82" s="2">
        <v>1</v>
      </c>
      <c r="C82" s="2">
        <v>16</v>
      </c>
      <c r="D82" s="2">
        <v>5.6</v>
      </c>
      <c r="E82" s="2">
        <v>14</v>
      </c>
      <c r="F82" s="2">
        <v>4.9000000000000004</v>
      </c>
      <c r="G82" s="2">
        <v>0.2</v>
      </c>
      <c r="H82" s="2">
        <v>2.46</v>
      </c>
      <c r="I82" s="2">
        <v>-0.55000000000000004</v>
      </c>
      <c r="J82" s="2">
        <v>80.331999999999994</v>
      </c>
      <c r="K82" s="3">
        <v>6.3626999999999997E-7</v>
      </c>
      <c r="L82" s="2">
        <v>10.69</v>
      </c>
      <c r="M82" s="3">
        <v>1.3447000000000001E-2</v>
      </c>
      <c r="N82" s="3">
        <v>2.0486E-5</v>
      </c>
      <c r="O82" s="3">
        <v>6.1644999999999998E-3</v>
      </c>
    </row>
    <row r="83" spans="1:15" ht="15.75">
      <c r="A83" s="2">
        <v>80.099999999999994</v>
      </c>
      <c r="B83" s="2">
        <v>1</v>
      </c>
      <c r="C83" s="2">
        <v>16</v>
      </c>
      <c r="D83" s="2">
        <v>5.6</v>
      </c>
      <c r="E83" s="2">
        <v>14</v>
      </c>
      <c r="F83" s="2">
        <v>5.32</v>
      </c>
      <c r="G83" s="2">
        <v>0.2</v>
      </c>
      <c r="H83" s="2">
        <v>2.4700000000000002</v>
      </c>
      <c r="I83" s="2">
        <v>-0.55200000000000005</v>
      </c>
      <c r="J83" s="2">
        <v>84.48</v>
      </c>
      <c r="K83" s="3">
        <v>3.3589999999999998E-7</v>
      </c>
      <c r="L83" s="2">
        <v>10.691000000000001</v>
      </c>
      <c r="M83" s="3">
        <v>1.342E-2</v>
      </c>
      <c r="N83" s="3">
        <v>1.5279000000000001E-5</v>
      </c>
      <c r="O83" s="3">
        <v>6.1779000000000001E-3</v>
      </c>
    </row>
    <row r="84" spans="1:15" ht="15.75">
      <c r="A84" s="2">
        <v>80.099999999999994</v>
      </c>
      <c r="B84" s="2">
        <v>1</v>
      </c>
      <c r="C84" s="2">
        <v>16</v>
      </c>
      <c r="D84" s="2">
        <v>6.08</v>
      </c>
      <c r="E84" s="2">
        <v>14</v>
      </c>
      <c r="F84" s="2">
        <v>4.9000000000000004</v>
      </c>
      <c r="G84" s="2">
        <v>0.2</v>
      </c>
      <c r="H84" s="2">
        <v>2.42</v>
      </c>
      <c r="I84" s="2">
        <v>-0.54400000000000004</v>
      </c>
      <c r="J84" s="2">
        <v>90.456999999999994</v>
      </c>
      <c r="K84" s="3">
        <v>5.1524E-6</v>
      </c>
      <c r="L84" s="2">
        <v>10.744999999999999</v>
      </c>
      <c r="M84" s="3">
        <v>1.363E-2</v>
      </c>
      <c r="N84" s="3">
        <v>2.5301000000000001E-5</v>
      </c>
      <c r="O84" s="3">
        <v>6.1634999999999997E-3</v>
      </c>
    </row>
    <row r="85" spans="1:15" ht="15.75">
      <c r="A85" s="2">
        <v>80.099999999999994</v>
      </c>
      <c r="B85" s="2">
        <v>1</v>
      </c>
      <c r="C85" s="2">
        <v>16</v>
      </c>
      <c r="D85" s="2">
        <v>6.08</v>
      </c>
      <c r="E85" s="2">
        <v>14</v>
      </c>
      <c r="F85" s="2">
        <v>5.32</v>
      </c>
      <c r="G85" s="2">
        <v>0.2</v>
      </c>
      <c r="H85" s="2">
        <v>2.4300000000000002</v>
      </c>
      <c r="I85" s="2">
        <v>-0.54700000000000004</v>
      </c>
      <c r="J85" s="2">
        <v>94.191000000000003</v>
      </c>
      <c r="K85" s="3">
        <v>1.7442E-6</v>
      </c>
      <c r="L85" s="2">
        <v>10.709</v>
      </c>
      <c r="M85" s="3">
        <v>1.3594E-2</v>
      </c>
      <c r="N85" s="3">
        <v>1.8026999999999999E-5</v>
      </c>
      <c r="O85" s="3">
        <v>6.1839E-3</v>
      </c>
    </row>
    <row r="86" spans="1:15" ht="15.75">
      <c r="A86" s="2">
        <v>81.3</v>
      </c>
      <c r="B86" s="2">
        <v>1</v>
      </c>
      <c r="C86" s="2">
        <v>16</v>
      </c>
      <c r="D86" s="2">
        <v>5.6</v>
      </c>
      <c r="E86" s="2">
        <v>16</v>
      </c>
      <c r="F86" s="2">
        <v>5.6</v>
      </c>
      <c r="G86" s="2">
        <v>0.2</v>
      </c>
      <c r="H86" s="2">
        <v>1.92</v>
      </c>
      <c r="I86" s="2">
        <v>-0.51800000000000002</v>
      </c>
      <c r="J86" s="2">
        <v>93.332999999999998</v>
      </c>
      <c r="K86" s="3">
        <v>8.7838999999999997E-8</v>
      </c>
      <c r="L86" s="2">
        <v>11.973000000000001</v>
      </c>
      <c r="M86" s="3">
        <v>1.7284999999999998E-2</v>
      </c>
      <c r="N86" s="3">
        <v>6.8466000000000005E-5</v>
      </c>
      <c r="O86" s="3">
        <v>7.5024000000000002E-3</v>
      </c>
    </row>
    <row r="87" spans="1:15" ht="15.75">
      <c r="A87" s="2">
        <v>81.3</v>
      </c>
      <c r="B87" s="2">
        <v>1</v>
      </c>
      <c r="C87" s="2">
        <v>16</v>
      </c>
      <c r="D87" s="2">
        <v>5.6</v>
      </c>
      <c r="E87" s="2">
        <v>16</v>
      </c>
      <c r="F87" s="2">
        <v>6.08</v>
      </c>
      <c r="G87" s="2">
        <v>0.2</v>
      </c>
      <c r="H87" s="2">
        <v>1.93</v>
      </c>
      <c r="I87" s="2">
        <v>-0.52100000000000002</v>
      </c>
      <c r="J87" s="2">
        <v>94.356999999999999</v>
      </c>
      <c r="K87" s="3">
        <v>4.5994999999999999E-7</v>
      </c>
      <c r="L87" s="2">
        <v>12.082000000000001</v>
      </c>
      <c r="M87" s="3">
        <v>1.7263000000000001E-2</v>
      </c>
      <c r="N87" s="3">
        <v>4.4169999999999999E-5</v>
      </c>
      <c r="O87" s="3">
        <v>7.4986000000000002E-3</v>
      </c>
    </row>
    <row r="88" spans="1:15" ht="15.75">
      <c r="A88" s="2">
        <v>81.3</v>
      </c>
      <c r="B88" s="2">
        <v>1</v>
      </c>
      <c r="C88" s="2">
        <v>16</v>
      </c>
      <c r="D88" s="2">
        <v>6.08</v>
      </c>
      <c r="E88" s="2">
        <v>16</v>
      </c>
      <c r="F88" s="2">
        <v>5.6</v>
      </c>
      <c r="G88" s="2">
        <v>0.2</v>
      </c>
      <c r="H88" s="2">
        <v>1.89</v>
      </c>
      <c r="I88" s="2">
        <v>-0.51</v>
      </c>
      <c r="J88" s="2">
        <v>107.09</v>
      </c>
      <c r="K88" s="3">
        <v>1.2216000000000001E-6</v>
      </c>
      <c r="L88" s="2">
        <v>12.121</v>
      </c>
      <c r="M88" s="3">
        <v>1.754E-2</v>
      </c>
      <c r="N88" s="3">
        <v>2.7175999999999999E-5</v>
      </c>
      <c r="O88" s="3">
        <v>7.5380999999999998E-3</v>
      </c>
    </row>
    <row r="89" spans="1:15" ht="15.75">
      <c r="A89" s="2">
        <v>81.3</v>
      </c>
      <c r="B89" s="2">
        <v>1</v>
      </c>
      <c r="C89" s="2">
        <v>16</v>
      </c>
      <c r="D89" s="2">
        <v>6.08</v>
      </c>
      <c r="E89" s="2">
        <v>16</v>
      </c>
      <c r="F89" s="2">
        <v>6.08</v>
      </c>
      <c r="G89" s="2">
        <v>0.2</v>
      </c>
      <c r="H89" s="2">
        <v>1.9</v>
      </c>
      <c r="I89" s="2">
        <v>-0.51300000000000001</v>
      </c>
      <c r="J89" s="2">
        <v>97.399000000000001</v>
      </c>
      <c r="K89" s="3">
        <v>3.4051999999999998E-7</v>
      </c>
      <c r="L89" s="2">
        <v>12.122999999999999</v>
      </c>
      <c r="M89" s="3">
        <v>1.7512E-2</v>
      </c>
      <c r="N89" s="3">
        <v>2.4919999999999999E-5</v>
      </c>
      <c r="O89" s="3">
        <v>7.5621999999999998E-3</v>
      </c>
    </row>
    <row r="90" spans="1:15" ht="15.75">
      <c r="A90" s="2">
        <v>82.3</v>
      </c>
      <c r="B90" s="2">
        <v>1</v>
      </c>
      <c r="C90" s="2">
        <v>16</v>
      </c>
      <c r="D90" s="2">
        <v>5.6</v>
      </c>
      <c r="E90" s="2">
        <v>18</v>
      </c>
      <c r="F90" s="2">
        <v>6.3</v>
      </c>
      <c r="G90" s="2">
        <v>0.2</v>
      </c>
      <c r="H90" s="2">
        <v>1.53</v>
      </c>
      <c r="I90" s="2">
        <v>-0.54500000000000004</v>
      </c>
      <c r="J90" s="2">
        <v>108.61</v>
      </c>
      <c r="K90" s="3">
        <v>6.5802999999999997E-8</v>
      </c>
      <c r="L90" s="2">
        <v>13.254</v>
      </c>
      <c r="M90" s="3">
        <v>2.1728000000000001E-2</v>
      </c>
      <c r="N90" s="3">
        <v>6.2811000000000006E-5</v>
      </c>
      <c r="O90" s="3">
        <v>8.9516000000000005E-3</v>
      </c>
    </row>
    <row r="91" spans="1:15" ht="15.75">
      <c r="A91" s="2">
        <v>82.3</v>
      </c>
      <c r="B91" s="2">
        <v>1</v>
      </c>
      <c r="C91" s="2">
        <v>16</v>
      </c>
      <c r="D91" s="2">
        <v>5.6</v>
      </c>
      <c r="E91" s="2">
        <v>18</v>
      </c>
      <c r="F91" s="2">
        <v>6.84</v>
      </c>
      <c r="G91" s="2">
        <v>0.2</v>
      </c>
      <c r="H91" s="2">
        <v>1.54</v>
      </c>
      <c r="I91" s="2">
        <v>-0.48799999999999999</v>
      </c>
      <c r="J91" s="2">
        <v>113.68</v>
      </c>
      <c r="K91" s="3">
        <v>1.4903999999999999E-7</v>
      </c>
      <c r="L91" s="2">
        <v>13.3</v>
      </c>
      <c r="M91" s="3">
        <v>2.1714000000000001E-2</v>
      </c>
      <c r="N91" s="3">
        <v>2.8255E-5</v>
      </c>
      <c r="O91" s="3">
        <v>8.9680000000000003E-3</v>
      </c>
    </row>
    <row r="92" spans="1:15" ht="15.75">
      <c r="A92" s="2">
        <v>82.3</v>
      </c>
      <c r="B92" s="2">
        <v>1</v>
      </c>
      <c r="C92" s="2">
        <v>16</v>
      </c>
      <c r="D92" s="2">
        <v>6.08</v>
      </c>
      <c r="E92" s="2">
        <v>18</v>
      </c>
      <c r="F92" s="2">
        <v>6.3</v>
      </c>
      <c r="G92" s="2">
        <v>0.2</v>
      </c>
      <c r="H92" s="2">
        <v>1.5</v>
      </c>
      <c r="I92" s="2">
        <v>-0.47499999999999998</v>
      </c>
      <c r="J92" s="2">
        <v>112.17</v>
      </c>
      <c r="K92" s="3">
        <v>4.7546000000000001E-8</v>
      </c>
      <c r="L92" s="2">
        <v>13.426</v>
      </c>
      <c r="M92" s="3">
        <v>2.2072000000000001E-2</v>
      </c>
      <c r="N92" s="3">
        <v>4.2197000000000003E-5</v>
      </c>
      <c r="O92" s="3">
        <v>9.0378000000000003E-3</v>
      </c>
    </row>
    <row r="93" spans="1:15" ht="15.75">
      <c r="A93" s="2">
        <v>82.3</v>
      </c>
      <c r="B93" s="2">
        <v>1</v>
      </c>
      <c r="C93" s="2">
        <v>16</v>
      </c>
      <c r="D93" s="2">
        <v>6.08</v>
      </c>
      <c r="E93" s="2">
        <v>18</v>
      </c>
      <c r="F93" s="2">
        <v>6.84</v>
      </c>
      <c r="G93" s="2">
        <v>0.2</v>
      </c>
      <c r="H93" s="2">
        <v>1.51</v>
      </c>
      <c r="I93" s="2">
        <v>-0.47899999999999998</v>
      </c>
      <c r="J93" s="2">
        <v>115</v>
      </c>
      <c r="K93" s="3">
        <v>2.8818E-8</v>
      </c>
      <c r="L93" s="2">
        <v>13.348000000000001</v>
      </c>
      <c r="M93" s="3">
        <v>2.2027999999999999E-2</v>
      </c>
      <c r="N93" s="3">
        <v>4.867E-5</v>
      </c>
      <c r="O93" s="3">
        <v>9.0357000000000007E-3</v>
      </c>
    </row>
    <row r="94" spans="1:15" ht="15.75">
      <c r="A94" s="2">
        <v>83.1</v>
      </c>
      <c r="B94" s="2">
        <v>1</v>
      </c>
      <c r="C94" s="2">
        <v>16</v>
      </c>
      <c r="D94" s="2">
        <v>5.6</v>
      </c>
      <c r="E94" s="2">
        <v>20</v>
      </c>
      <c r="F94" s="2">
        <v>7</v>
      </c>
      <c r="G94" s="2">
        <v>0.2</v>
      </c>
      <c r="H94" s="2">
        <v>1.24</v>
      </c>
      <c r="I94" s="2">
        <f>-0.451</f>
        <v>-0.45100000000000001</v>
      </c>
      <c r="J94" s="2">
        <v>128.01</v>
      </c>
      <c r="K94" s="3">
        <v>1.8580999999999999E-8</v>
      </c>
      <c r="L94" s="2">
        <v>14.305</v>
      </c>
      <c r="M94" s="3">
        <v>2.6839999999999999E-2</v>
      </c>
      <c r="N94" s="3">
        <v>8.0080999999999994E-5</v>
      </c>
      <c r="O94" s="3">
        <v>1.0597000000000001E-2</v>
      </c>
    </row>
    <row r="95" spans="1:15" ht="15.75">
      <c r="A95" s="2">
        <v>83.1</v>
      </c>
      <c r="B95" s="2">
        <v>1</v>
      </c>
      <c r="C95" s="14">
        <v>16</v>
      </c>
      <c r="D95" s="14">
        <v>5.6</v>
      </c>
      <c r="E95" s="14">
        <v>20</v>
      </c>
      <c r="F95" s="14">
        <v>7.6</v>
      </c>
      <c r="G95" s="2">
        <v>0.2</v>
      </c>
      <c r="H95" s="2">
        <v>1.22</v>
      </c>
      <c r="I95" s="2">
        <v>-0.442</v>
      </c>
      <c r="J95" s="2">
        <v>135.43</v>
      </c>
      <c r="K95" s="3">
        <v>2.1530000000000002E-8</v>
      </c>
      <c r="L95" s="2">
        <v>14.566000000000001</v>
      </c>
      <c r="M95" s="3">
        <v>2.7220999999999999E-2</v>
      </c>
      <c r="N95" s="3">
        <v>2.9091999999999999E-5</v>
      </c>
      <c r="O95" s="3">
        <v>1.0725999999999999E-2</v>
      </c>
    </row>
    <row r="96" spans="1:15" ht="15.75">
      <c r="A96" s="2">
        <v>83.1</v>
      </c>
      <c r="B96" s="2">
        <v>1</v>
      </c>
      <c r="C96" s="14">
        <v>16</v>
      </c>
      <c r="D96" s="14">
        <v>6.08</v>
      </c>
      <c r="E96" s="14">
        <v>20</v>
      </c>
      <c r="F96" s="14">
        <v>7</v>
      </c>
      <c r="G96" s="2">
        <v>0.2</v>
      </c>
      <c r="H96" s="2">
        <v>1.22</v>
      </c>
      <c r="I96" s="2">
        <v>-0.442</v>
      </c>
      <c r="J96" s="2">
        <v>135.43</v>
      </c>
      <c r="K96" s="3">
        <v>2.1530000000000002E-8</v>
      </c>
      <c r="L96" s="2">
        <v>14.566000000000001</v>
      </c>
      <c r="M96" s="3">
        <v>2.7220999999999999E-2</v>
      </c>
      <c r="N96" s="3">
        <v>2.9091999999999999E-5</v>
      </c>
      <c r="O96" s="3">
        <v>1.0725999999999999E-2</v>
      </c>
    </row>
    <row r="97" spans="1:15" ht="15.75">
      <c r="A97" s="2">
        <v>83.1</v>
      </c>
      <c r="B97" s="2">
        <v>1</v>
      </c>
      <c r="C97" s="14">
        <v>16</v>
      </c>
      <c r="D97" s="14">
        <v>6.08</v>
      </c>
      <c r="E97" s="5">
        <v>20</v>
      </c>
      <c r="F97" s="5">
        <v>7.6</v>
      </c>
      <c r="G97" s="2">
        <v>0.2</v>
      </c>
      <c r="H97" s="2">
        <v>1.23</v>
      </c>
      <c r="I97" s="2">
        <v>-0.44600000000000001</v>
      </c>
      <c r="J97" s="2">
        <v>156.87</v>
      </c>
      <c r="K97" s="3">
        <v>7.3116000000000004E-8</v>
      </c>
      <c r="L97" s="2">
        <v>14.586</v>
      </c>
      <c r="M97" s="3">
        <v>2.7206000000000001E-2</v>
      </c>
      <c r="N97" s="3">
        <v>4.5475000000000001E-5</v>
      </c>
      <c r="O97" s="3">
        <v>1.0729000000000001E-2</v>
      </c>
    </row>
    <row r="98" spans="1:15" ht="15.75">
      <c r="A98" s="2">
        <v>70.099999999999994</v>
      </c>
      <c r="B98" s="2">
        <v>1.5</v>
      </c>
      <c r="C98" s="2">
        <v>16</v>
      </c>
      <c r="D98" s="2">
        <v>5.6</v>
      </c>
      <c r="E98" s="2">
        <v>14</v>
      </c>
      <c r="F98" s="2">
        <v>4.9000000000000004</v>
      </c>
      <c r="G98" s="2">
        <v>0.2</v>
      </c>
      <c r="H98" s="2">
        <v>7.12</v>
      </c>
      <c r="I98" s="2">
        <v>-0.47699999999999998</v>
      </c>
      <c r="J98" s="2">
        <v>46.011000000000003</v>
      </c>
      <c r="K98" s="3">
        <v>1.3973E-5</v>
      </c>
      <c r="L98" s="2">
        <v>5.5698999999999996</v>
      </c>
      <c r="M98" s="3">
        <v>4.6150000000000002E-3</v>
      </c>
      <c r="N98" s="3">
        <v>7.2629999999999997E-6</v>
      </c>
      <c r="O98" s="3">
        <v>2.1402999999999999E-3</v>
      </c>
    </row>
    <row r="99" spans="1:15" ht="15.75">
      <c r="A99" s="2">
        <v>70.099999999999994</v>
      </c>
      <c r="B99" s="2">
        <v>1.5</v>
      </c>
      <c r="C99" s="2">
        <v>16</v>
      </c>
      <c r="D99" s="2">
        <v>5.6</v>
      </c>
      <c r="E99" s="2">
        <v>14</v>
      </c>
      <c r="F99" s="2">
        <v>5.32</v>
      </c>
      <c r="G99" s="2">
        <v>0.2</v>
      </c>
      <c r="H99" s="2">
        <v>7.15</v>
      </c>
      <c r="I99" s="2">
        <v>-0.48</v>
      </c>
      <c r="J99" s="2">
        <v>46.279000000000003</v>
      </c>
      <c r="K99" s="3">
        <v>2.4870000000000001E-5</v>
      </c>
      <c r="L99" s="2">
        <v>5.6866000000000003</v>
      </c>
      <c r="M99" s="3">
        <v>4.6056999999999999E-3</v>
      </c>
      <c r="N99" s="3">
        <v>5.6855E-6</v>
      </c>
      <c r="O99" s="3">
        <v>2.1486000000000001E-3</v>
      </c>
    </row>
    <row r="100" spans="1:15" ht="15.75">
      <c r="A100" s="2">
        <v>70.099999999999994</v>
      </c>
      <c r="B100" s="2">
        <v>1.5</v>
      </c>
      <c r="C100" s="2">
        <v>16</v>
      </c>
      <c r="D100" s="2">
        <v>6.08</v>
      </c>
      <c r="E100" s="2">
        <v>14</v>
      </c>
      <c r="F100" s="2">
        <v>4.9000000000000004</v>
      </c>
      <c r="G100" s="2">
        <v>0.2</v>
      </c>
      <c r="H100" s="2">
        <v>7.03</v>
      </c>
      <c r="I100" s="2">
        <v>-0.47299999999999998</v>
      </c>
      <c r="J100" s="2">
        <v>45.423999999999999</v>
      </c>
      <c r="K100" s="3">
        <v>1.6614000000000001E-5</v>
      </c>
      <c r="L100" s="2">
        <v>5.7023999999999999</v>
      </c>
      <c r="M100" s="3">
        <v>4.6760999999999999E-3</v>
      </c>
      <c r="N100" s="3">
        <v>3.7616999999999999E-6</v>
      </c>
      <c r="O100" s="3">
        <v>2.1488000000000002E-3</v>
      </c>
    </row>
    <row r="101" spans="1:15" ht="15.75">
      <c r="A101" s="2">
        <v>70.099999999999994</v>
      </c>
      <c r="B101" s="2">
        <v>1.5</v>
      </c>
      <c r="C101" s="2">
        <v>16</v>
      </c>
      <c r="D101" s="2">
        <v>6.08</v>
      </c>
      <c r="E101" s="2">
        <v>14</v>
      </c>
      <c r="F101" s="2">
        <v>5.32</v>
      </c>
      <c r="G101" s="2">
        <v>0.2</v>
      </c>
      <c r="H101" s="2">
        <v>7.06</v>
      </c>
      <c r="I101" s="2">
        <v>-0.47599999999999998</v>
      </c>
      <c r="J101" s="2">
        <v>42.691000000000003</v>
      </c>
      <c r="K101" s="3">
        <v>3.4421999999999997E-5</v>
      </c>
      <c r="L101" s="2">
        <v>5.7404000000000002</v>
      </c>
      <c r="M101" s="3">
        <v>4.6638000000000001E-3</v>
      </c>
      <c r="N101" s="3">
        <v>9.5743000000000008E-6</v>
      </c>
      <c r="O101" s="3">
        <v>2.1491000000000001E-3</v>
      </c>
    </row>
    <row r="102" spans="1:15" ht="15.75">
      <c r="A102" s="2">
        <v>72.7</v>
      </c>
      <c r="B102" s="2">
        <v>1.5</v>
      </c>
      <c r="C102" s="2">
        <v>16</v>
      </c>
      <c r="D102" s="2">
        <v>5.6</v>
      </c>
      <c r="E102" s="2">
        <v>16</v>
      </c>
      <c r="F102" s="2">
        <v>5.6</v>
      </c>
      <c r="G102" s="2">
        <v>0.2</v>
      </c>
      <c r="H102" s="2">
        <v>5.63</v>
      </c>
      <c r="I102" s="2">
        <v>-0.45600000000000002</v>
      </c>
      <c r="J102" s="2">
        <v>50.12</v>
      </c>
      <c r="K102" s="3">
        <v>6.4733999999999997E-7</v>
      </c>
      <c r="L102" s="2">
        <v>6.3377999999999997</v>
      </c>
      <c r="M102" s="3">
        <v>5.8659999999999997E-3</v>
      </c>
      <c r="N102" s="3">
        <v>5.7309999999999996E-7</v>
      </c>
      <c r="O102" s="3">
        <v>2.578E-3</v>
      </c>
    </row>
    <row r="103" spans="1:15" ht="15.75">
      <c r="A103" s="2">
        <v>72.7</v>
      </c>
      <c r="B103" s="2">
        <v>1.5</v>
      </c>
      <c r="C103" s="2">
        <v>16</v>
      </c>
      <c r="D103" s="2">
        <v>5.6</v>
      </c>
      <c r="E103" s="2">
        <v>16</v>
      </c>
      <c r="F103" s="2">
        <v>6.08</v>
      </c>
      <c r="G103" s="2">
        <v>0.2</v>
      </c>
      <c r="H103" s="2">
        <v>5.65</v>
      </c>
      <c r="I103" s="2">
        <v>-0.45900000000000002</v>
      </c>
      <c r="J103" s="2">
        <v>55.707999999999998</v>
      </c>
      <c r="K103" s="3">
        <v>2.5695000000000001E-6</v>
      </c>
      <c r="L103" s="2">
        <v>6.3874000000000004</v>
      </c>
      <c r="M103" s="3">
        <v>5.8561999999999998E-3</v>
      </c>
      <c r="N103" s="3">
        <v>2.9243999999999999E-6</v>
      </c>
      <c r="O103" s="3">
        <v>2.5842999999999999E-3</v>
      </c>
    </row>
    <row r="104" spans="1:15" ht="15.75">
      <c r="A104" s="2">
        <v>72.7</v>
      </c>
      <c r="B104" s="2">
        <v>1.5</v>
      </c>
      <c r="C104" s="2">
        <v>16</v>
      </c>
      <c r="D104" s="2">
        <v>6.08</v>
      </c>
      <c r="E104" s="2">
        <v>16</v>
      </c>
      <c r="F104" s="2">
        <v>5.6</v>
      </c>
      <c r="G104" s="2">
        <v>0.2</v>
      </c>
      <c r="H104" s="2">
        <v>5.54</v>
      </c>
      <c r="I104" s="2">
        <v>-0.45</v>
      </c>
      <c r="J104" s="2">
        <v>54.023000000000003</v>
      </c>
      <c r="K104" s="3">
        <v>3.8914999999999999E-6</v>
      </c>
      <c r="L104" s="2">
        <v>6.4568000000000003</v>
      </c>
      <c r="M104" s="3">
        <v>5.9483000000000001E-3</v>
      </c>
      <c r="N104" s="3">
        <v>1.0131E-5</v>
      </c>
      <c r="O104" s="3">
        <v>2.5926E-3</v>
      </c>
    </row>
    <row r="105" spans="1:15" ht="15.75">
      <c r="A105" s="2">
        <v>72.7</v>
      </c>
      <c r="B105" s="2">
        <v>1.5</v>
      </c>
      <c r="C105" s="2">
        <v>16</v>
      </c>
      <c r="D105" s="2">
        <v>6.08</v>
      </c>
      <c r="E105" s="2">
        <v>16</v>
      </c>
      <c r="F105" s="2">
        <v>6.08</v>
      </c>
      <c r="G105" s="2">
        <v>0.2</v>
      </c>
      <c r="H105" s="2">
        <v>5.57</v>
      </c>
      <c r="I105" s="2">
        <v>-0.45300000000000001</v>
      </c>
      <c r="J105" s="2">
        <v>57.295000000000002</v>
      </c>
      <c r="K105" s="3">
        <v>2.3074999999999999E-6</v>
      </c>
      <c r="L105" s="2">
        <v>6.3719999999999999</v>
      </c>
      <c r="M105" s="3">
        <v>5.9341000000000003E-3</v>
      </c>
      <c r="N105" s="3">
        <v>1.1956E-5</v>
      </c>
      <c r="O105" s="3">
        <v>2.5885000000000001E-3</v>
      </c>
    </row>
    <row r="106" spans="1:15" ht="15.75">
      <c r="A106" s="2">
        <v>74.099999999999994</v>
      </c>
      <c r="B106" s="2">
        <v>1.5</v>
      </c>
      <c r="C106" s="2">
        <v>16</v>
      </c>
      <c r="D106" s="2">
        <v>5.6</v>
      </c>
      <c r="E106" s="2">
        <v>18</v>
      </c>
      <c r="F106" s="2">
        <v>6.3</v>
      </c>
      <c r="G106" s="2">
        <v>0.2</v>
      </c>
      <c r="H106" s="2">
        <v>4.54</v>
      </c>
      <c r="I106" s="2">
        <v>-0.432</v>
      </c>
      <c r="J106" s="2">
        <v>63.615000000000002</v>
      </c>
      <c r="K106" s="3">
        <v>4.9261999999999997E-7</v>
      </c>
      <c r="L106" s="2">
        <v>6.8677000000000001</v>
      </c>
      <c r="M106" s="3">
        <v>7.3001000000000003E-3</v>
      </c>
      <c r="N106" s="3">
        <v>1.0927000000000001E-5</v>
      </c>
      <c r="O106" s="3">
        <v>3.0552000000000001E-3</v>
      </c>
    </row>
    <row r="107" spans="1:15" ht="15.75">
      <c r="A107" s="2">
        <v>74.099999999999994</v>
      </c>
      <c r="B107" s="2">
        <v>1.5</v>
      </c>
      <c r="C107" s="2">
        <v>16</v>
      </c>
      <c r="D107" s="2">
        <v>5.6</v>
      </c>
      <c r="E107" s="2">
        <v>18</v>
      </c>
      <c r="F107" s="2">
        <v>6.84</v>
      </c>
      <c r="G107" s="2">
        <v>0.2</v>
      </c>
      <c r="H107" s="2">
        <v>4.55</v>
      </c>
      <c r="I107" s="2">
        <v>-0.435</v>
      </c>
      <c r="J107" s="2">
        <v>62.96</v>
      </c>
      <c r="K107" s="3">
        <v>9.4172000000000004E-7</v>
      </c>
      <c r="L107" s="2">
        <v>6.8956999999999997</v>
      </c>
      <c r="M107" s="3">
        <v>7.2899000000000002E-3</v>
      </c>
      <c r="N107" s="3">
        <v>1.059E-5</v>
      </c>
      <c r="O107" s="3">
        <v>3.0642E-3</v>
      </c>
    </row>
    <row r="108" spans="1:15" ht="15.75">
      <c r="A108" s="2">
        <v>74.099999999999994</v>
      </c>
      <c r="B108" s="2">
        <v>1.5</v>
      </c>
      <c r="C108" s="2">
        <v>16</v>
      </c>
      <c r="D108" s="2">
        <v>6.08</v>
      </c>
      <c r="E108" s="2">
        <v>18</v>
      </c>
      <c r="F108" s="2">
        <v>6.3</v>
      </c>
      <c r="G108" s="2">
        <v>0.2</v>
      </c>
      <c r="H108" s="2">
        <v>4.47</v>
      </c>
      <c r="I108" s="2">
        <v>-0.42399999999999999</v>
      </c>
      <c r="J108" s="2">
        <v>63.756</v>
      </c>
      <c r="K108" s="3">
        <v>6.4814999999999999E-7</v>
      </c>
      <c r="L108" s="2">
        <v>6.9715999999999996</v>
      </c>
      <c r="M108" s="3">
        <v>7.4029999999999999E-3</v>
      </c>
      <c r="N108" s="3">
        <v>4.7318000000000002E-6</v>
      </c>
      <c r="O108" s="3">
        <v>3.0764E-3</v>
      </c>
    </row>
    <row r="109" spans="1:15" ht="15.75">
      <c r="A109" s="2">
        <v>74.099999999999994</v>
      </c>
      <c r="B109" s="2">
        <v>1.5</v>
      </c>
      <c r="C109" s="2">
        <v>16</v>
      </c>
      <c r="D109" s="2">
        <v>6.08</v>
      </c>
      <c r="E109" s="2">
        <v>18</v>
      </c>
      <c r="F109" s="2">
        <v>6.84</v>
      </c>
      <c r="G109" s="2">
        <v>0.2</v>
      </c>
      <c r="H109" s="2">
        <v>4.49</v>
      </c>
      <c r="I109" s="2">
        <v>-0.42799999999999999</v>
      </c>
      <c r="J109" s="2">
        <v>61.603000000000002</v>
      </c>
      <c r="K109" s="3">
        <v>5.5273999999999996E-7</v>
      </c>
      <c r="L109" s="2">
        <v>6.8921000000000001</v>
      </c>
      <c r="M109" s="3">
        <v>7.3883999999999998E-3</v>
      </c>
      <c r="N109" s="3">
        <v>1.3159000000000001E-5</v>
      </c>
      <c r="O109" s="3">
        <v>3.0853999999999999E-3</v>
      </c>
    </row>
    <row r="110" spans="1:15" ht="15.75">
      <c r="A110" s="2">
        <v>75.2</v>
      </c>
      <c r="B110" s="2">
        <v>1.5</v>
      </c>
      <c r="C110" s="2">
        <v>16</v>
      </c>
      <c r="D110" s="2">
        <v>5.6</v>
      </c>
      <c r="E110" s="2">
        <v>20</v>
      </c>
      <c r="F110" s="2">
        <v>7</v>
      </c>
      <c r="G110" s="2">
        <v>0.2</v>
      </c>
      <c r="H110" s="2">
        <v>3.72</v>
      </c>
      <c r="I110" s="2">
        <v>-0.40600000000000003</v>
      </c>
      <c r="J110" s="2">
        <v>69.391000000000005</v>
      </c>
      <c r="K110" s="3">
        <v>5.8933999999999997E-8</v>
      </c>
      <c r="L110" s="2">
        <v>7.4329999999999998</v>
      </c>
      <c r="M110" s="3">
        <v>8.9300999999999998E-3</v>
      </c>
      <c r="N110" s="3">
        <v>1.1432E-5</v>
      </c>
      <c r="O110" s="3">
        <v>3.5777999999999999E-3</v>
      </c>
    </row>
    <row r="111" spans="1:15" ht="15.75">
      <c r="A111" s="2">
        <v>75.2</v>
      </c>
      <c r="B111" s="2">
        <v>1.5</v>
      </c>
      <c r="C111" s="2">
        <v>16</v>
      </c>
      <c r="D111" s="2">
        <v>5.6</v>
      </c>
      <c r="E111" s="2">
        <v>20</v>
      </c>
      <c r="F111" s="2">
        <v>7.6</v>
      </c>
      <c r="G111" s="2">
        <v>0.2</v>
      </c>
      <c r="H111" s="2">
        <v>3.73</v>
      </c>
      <c r="I111" s="2">
        <v>-0.41</v>
      </c>
      <c r="J111" s="2">
        <v>72.78</v>
      </c>
      <c r="K111" s="3">
        <v>3.1335999999999999E-7</v>
      </c>
      <c r="L111" s="2">
        <v>7.5982000000000003</v>
      </c>
      <c r="M111" s="3">
        <v>8.9172999999999995E-3</v>
      </c>
      <c r="N111" s="3">
        <v>9.0683999999999994E-6</v>
      </c>
      <c r="O111" s="3">
        <v>3.5856E-3</v>
      </c>
    </row>
    <row r="112" spans="1:15" ht="15.75">
      <c r="A112" s="2">
        <v>75.2</v>
      </c>
      <c r="B112" s="2">
        <v>1.5</v>
      </c>
      <c r="C112" s="2">
        <v>16</v>
      </c>
      <c r="D112" s="2">
        <v>6.08</v>
      </c>
      <c r="E112" s="2">
        <v>20</v>
      </c>
      <c r="F112" s="2">
        <v>7</v>
      </c>
      <c r="G112" s="2">
        <v>0.2</v>
      </c>
      <c r="H112" s="2">
        <v>3.66</v>
      </c>
      <c r="I112" s="2">
        <v>-0.39800000000000002</v>
      </c>
      <c r="J112" s="2">
        <v>68.634</v>
      </c>
      <c r="K112" s="3">
        <v>3.2296999999999999E-7</v>
      </c>
      <c r="L112" s="2">
        <v>7.6304999999999996</v>
      </c>
      <c r="M112" s="3">
        <v>9.0487999999999992E-3</v>
      </c>
      <c r="N112" s="3">
        <v>1.6959000000000001E-5</v>
      </c>
      <c r="O112" s="3">
        <v>3.6040999999999998E-3</v>
      </c>
    </row>
    <row r="113" spans="1:15" ht="15.75">
      <c r="A113" s="2">
        <v>75.2</v>
      </c>
      <c r="B113" s="2">
        <v>1.5</v>
      </c>
      <c r="C113" s="2">
        <v>16</v>
      </c>
      <c r="D113" s="2">
        <v>6.08</v>
      </c>
      <c r="E113" s="13">
        <v>20</v>
      </c>
      <c r="F113" s="13">
        <v>7.6</v>
      </c>
      <c r="G113" s="2">
        <v>0.2</v>
      </c>
      <c r="H113" s="2">
        <v>3.68</v>
      </c>
      <c r="I113" s="2">
        <v>-0.40300000000000002</v>
      </c>
      <c r="J113" s="2">
        <v>58.911999999999999</v>
      </c>
      <c r="K113" s="3">
        <v>1.7445E-7</v>
      </c>
      <c r="L113" s="2">
        <v>7.4008000000000003</v>
      </c>
      <c r="M113" s="3">
        <v>9.0273000000000003E-3</v>
      </c>
      <c r="N113" s="3">
        <v>1.2357E-5</v>
      </c>
      <c r="O113" s="3">
        <v>3.6029E-3</v>
      </c>
    </row>
    <row r="114" spans="1:15" ht="15.75">
      <c r="A114" s="2">
        <v>62.4</v>
      </c>
      <c r="B114" s="2">
        <v>2</v>
      </c>
      <c r="C114" s="2">
        <v>16</v>
      </c>
      <c r="D114" s="2">
        <v>5.6</v>
      </c>
      <c r="E114" s="2">
        <v>14</v>
      </c>
      <c r="F114" s="2">
        <v>4.9000000000000004</v>
      </c>
      <c r="G114" s="2">
        <v>0.2</v>
      </c>
      <c r="H114" s="2">
        <v>14.21</v>
      </c>
      <c r="I114" s="2">
        <v>-0.38300000000000001</v>
      </c>
      <c r="J114" s="2">
        <v>25.507000000000001</v>
      </c>
      <c r="K114" s="3">
        <v>2.0338999999999999E-4</v>
      </c>
      <c r="L114" s="2">
        <v>3.7124999999999999</v>
      </c>
      <c r="M114" s="3">
        <v>2.2959E-3</v>
      </c>
      <c r="N114" s="3">
        <v>1.3177999999999999E-6</v>
      </c>
      <c r="O114" s="3">
        <v>1.0915E-3</v>
      </c>
    </row>
    <row r="115" spans="1:15" ht="15.75">
      <c r="A115" s="2">
        <v>62.4</v>
      </c>
      <c r="B115" s="2">
        <v>2</v>
      </c>
      <c r="C115" s="2">
        <v>16</v>
      </c>
      <c r="D115" s="2">
        <v>5.6</v>
      </c>
      <c r="E115" s="2">
        <v>14</v>
      </c>
      <c r="F115" s="2">
        <v>5.32</v>
      </c>
      <c r="G115" s="2">
        <v>0.2</v>
      </c>
      <c r="H115" s="2">
        <v>14.27</v>
      </c>
      <c r="I115" s="2">
        <v>-0.38600000000000001</v>
      </c>
      <c r="J115" s="2">
        <v>27.702999999999999</v>
      </c>
      <c r="K115" s="3">
        <v>6.2635999999999996E-4</v>
      </c>
      <c r="L115" s="2">
        <v>3.7160000000000002</v>
      </c>
      <c r="M115" s="3">
        <v>2.2897999999999998E-3</v>
      </c>
      <c r="N115" s="3">
        <v>8.4824000000000006E-8</v>
      </c>
      <c r="O115" s="3">
        <v>1.0935000000000001E-3</v>
      </c>
    </row>
    <row r="116" spans="1:15" ht="15.75">
      <c r="A116" s="2">
        <v>62.4</v>
      </c>
      <c r="B116" s="2">
        <v>2</v>
      </c>
      <c r="C116" s="2">
        <v>16</v>
      </c>
      <c r="D116" s="2">
        <v>6.08</v>
      </c>
      <c r="E116" s="2">
        <v>14</v>
      </c>
      <c r="F116" s="2">
        <v>4.9000000000000004</v>
      </c>
      <c r="G116" s="2">
        <v>0.2</v>
      </c>
      <c r="H116" s="2">
        <v>14.03</v>
      </c>
      <c r="I116" s="2">
        <v>-0.38</v>
      </c>
      <c r="J116" s="2">
        <v>28.512</v>
      </c>
      <c r="K116" s="3">
        <v>1.2116E-4</v>
      </c>
      <c r="L116" s="2">
        <v>3.7189999999999999</v>
      </c>
      <c r="M116" s="3">
        <v>2.3267000000000001E-3</v>
      </c>
      <c r="N116" s="3">
        <v>2.3564E-6</v>
      </c>
      <c r="O116" s="3">
        <v>1.0927000000000001E-3</v>
      </c>
    </row>
    <row r="117" spans="1:15" ht="15.75">
      <c r="A117" s="2">
        <v>62.4</v>
      </c>
      <c r="B117" s="2">
        <v>2</v>
      </c>
      <c r="C117" s="2">
        <v>16</v>
      </c>
      <c r="D117" s="2">
        <v>6.08</v>
      </c>
      <c r="E117" s="2">
        <v>14</v>
      </c>
      <c r="F117" s="2">
        <v>5.32</v>
      </c>
      <c r="G117" s="2">
        <v>0.2</v>
      </c>
      <c r="H117" s="2">
        <v>14.09</v>
      </c>
      <c r="I117" s="2">
        <v>-0.38300000000000001</v>
      </c>
      <c r="J117" s="2">
        <v>29.908999999999999</v>
      </c>
      <c r="K117" s="3">
        <v>4.4820999999999999E-4</v>
      </c>
      <c r="L117" s="2">
        <v>3.6711999999999998</v>
      </c>
      <c r="M117" s="3">
        <v>2.3188000000000002E-3</v>
      </c>
      <c r="N117" s="3">
        <v>1.9497999999999999E-6</v>
      </c>
      <c r="O117" s="3">
        <v>1.0943000000000001E-3</v>
      </c>
    </row>
    <row r="118" spans="1:15" ht="15.75">
      <c r="A118" s="2">
        <v>64.599999999999994</v>
      </c>
      <c r="B118" s="2">
        <v>2</v>
      </c>
      <c r="C118" s="2">
        <v>16</v>
      </c>
      <c r="D118" s="2">
        <v>5.6</v>
      </c>
      <c r="E118" s="2">
        <v>16</v>
      </c>
      <c r="F118" s="2">
        <v>5.6</v>
      </c>
      <c r="G118" s="2">
        <v>0.2</v>
      </c>
      <c r="H118" s="2">
        <v>11.37</v>
      </c>
      <c r="I118" s="2">
        <v>-0.376</v>
      </c>
      <c r="J118" s="2">
        <v>31.664000000000001</v>
      </c>
      <c r="K118" s="3">
        <v>5.0073E-5</v>
      </c>
      <c r="L118" s="2">
        <v>4.0808999999999997</v>
      </c>
      <c r="M118" s="3">
        <v>2.8831999999999998E-3</v>
      </c>
      <c r="N118" s="3">
        <v>2.7497000000000001E-6</v>
      </c>
      <c r="O118" s="3">
        <v>1.3025999999999999E-3</v>
      </c>
    </row>
    <row r="119" spans="1:15" ht="15.75">
      <c r="A119" s="2">
        <v>64.599999999999994</v>
      </c>
      <c r="B119" s="2">
        <v>2</v>
      </c>
      <c r="C119" s="2">
        <v>16</v>
      </c>
      <c r="D119" s="2">
        <v>5.6</v>
      </c>
      <c r="E119" s="2">
        <v>16</v>
      </c>
      <c r="F119" s="2">
        <v>6.08</v>
      </c>
      <c r="G119" s="2">
        <v>0.2</v>
      </c>
      <c r="H119" s="2">
        <v>11.41</v>
      </c>
      <c r="I119" s="2">
        <v>-0.378</v>
      </c>
      <c r="J119" s="2">
        <v>33.591000000000001</v>
      </c>
      <c r="K119" s="3">
        <v>6.1363000000000002E-5</v>
      </c>
      <c r="L119" s="2">
        <v>4.0952000000000002</v>
      </c>
      <c r="M119" s="3">
        <v>2.8766E-3</v>
      </c>
      <c r="N119" s="3">
        <v>3.0564000000000001E-6</v>
      </c>
      <c r="O119" s="3">
        <v>1.3017E-3</v>
      </c>
    </row>
    <row r="120" spans="1:15" ht="15.75">
      <c r="A120" s="2">
        <v>64.599999999999994</v>
      </c>
      <c r="B120" s="2">
        <v>2</v>
      </c>
      <c r="C120" s="2">
        <v>16</v>
      </c>
      <c r="D120" s="2">
        <v>6.08</v>
      </c>
      <c r="E120" s="2">
        <v>16</v>
      </c>
      <c r="F120" s="2">
        <v>5.6</v>
      </c>
      <c r="G120" s="2">
        <v>0.2</v>
      </c>
      <c r="H120" s="2">
        <v>11.21</v>
      </c>
      <c r="I120" s="2">
        <v>-0.371</v>
      </c>
      <c r="J120" s="2">
        <v>34.106000000000002</v>
      </c>
      <c r="K120" s="3">
        <v>3.0171999999999998E-5</v>
      </c>
      <c r="L120" s="2">
        <v>4.0853000000000002</v>
      </c>
      <c r="M120" s="3">
        <v>2.9223000000000001E-3</v>
      </c>
      <c r="N120" s="3">
        <v>2.0216999999999999E-7</v>
      </c>
      <c r="O120" s="3">
        <v>1.3048999999999999E-3</v>
      </c>
    </row>
    <row r="121" spans="1:15" ht="15.75">
      <c r="A121" s="2">
        <v>64.599999999999994</v>
      </c>
      <c r="B121" s="2">
        <v>2</v>
      </c>
      <c r="C121" s="2">
        <v>16</v>
      </c>
      <c r="D121" s="2">
        <v>6.08</v>
      </c>
      <c r="E121" s="2">
        <v>16</v>
      </c>
      <c r="F121" s="2">
        <v>6.08</v>
      </c>
      <c r="G121" s="2">
        <v>0.2</v>
      </c>
      <c r="H121" s="2">
        <v>11.26</v>
      </c>
      <c r="I121" s="2">
        <v>-0.374</v>
      </c>
      <c r="J121" s="2">
        <v>31.137</v>
      </c>
      <c r="K121" s="3">
        <v>6.0245999999999999E-5</v>
      </c>
      <c r="L121" s="2">
        <v>4.0762999999999998</v>
      </c>
      <c r="M121" s="3">
        <v>2.9142999999999999E-3</v>
      </c>
      <c r="N121" s="3">
        <v>2.1650999999999998E-6</v>
      </c>
      <c r="O121" s="3">
        <v>1.3060999999999999E-3</v>
      </c>
    </row>
    <row r="122" spans="1:15" ht="15.75">
      <c r="A122" s="2">
        <v>66.400000000000006</v>
      </c>
      <c r="B122" s="2">
        <v>2</v>
      </c>
      <c r="C122" s="2">
        <v>16</v>
      </c>
      <c r="D122" s="2">
        <v>5.6</v>
      </c>
      <c r="E122" s="2">
        <v>18</v>
      </c>
      <c r="F122" s="2">
        <v>6.3</v>
      </c>
      <c r="G122" s="2">
        <v>0.2</v>
      </c>
      <c r="H122" s="2">
        <v>9.27</v>
      </c>
      <c r="I122" s="2">
        <v>-0.36299999999999999</v>
      </c>
      <c r="J122" s="2">
        <v>33.308</v>
      </c>
      <c r="K122" s="3">
        <v>8.4342999999999999E-6</v>
      </c>
      <c r="L122" s="2">
        <v>4.4122000000000003</v>
      </c>
      <c r="M122" s="3">
        <v>3.5496999999999998E-3</v>
      </c>
      <c r="N122" s="3">
        <v>4.2351999999999997E-6</v>
      </c>
      <c r="O122" s="3">
        <v>1.5261999999999999E-3</v>
      </c>
    </row>
    <row r="123" spans="1:15" ht="15.75">
      <c r="A123" s="2">
        <v>66.400000000000006</v>
      </c>
      <c r="B123" s="2">
        <v>2</v>
      </c>
      <c r="C123" s="2">
        <v>16</v>
      </c>
      <c r="D123" s="2">
        <v>5.6</v>
      </c>
      <c r="E123" s="2">
        <v>18</v>
      </c>
      <c r="F123" s="2">
        <v>6.84</v>
      </c>
      <c r="G123" s="2">
        <v>0.2</v>
      </c>
      <c r="H123" s="2">
        <v>9.31</v>
      </c>
      <c r="I123" s="2">
        <v>-0.36599999999999999</v>
      </c>
      <c r="J123" s="2">
        <v>37.76</v>
      </c>
      <c r="K123" s="3">
        <v>1.1443999999999999E-5</v>
      </c>
      <c r="L123" s="2">
        <v>4.4222000000000001</v>
      </c>
      <c r="M123" s="3">
        <v>3.5409E-3</v>
      </c>
      <c r="N123" s="3">
        <v>2.9309000000000002E-6</v>
      </c>
      <c r="O123" s="3">
        <v>1.5305E-3</v>
      </c>
    </row>
    <row r="124" spans="1:15" ht="15.75">
      <c r="A124" s="2">
        <v>66.400000000000006</v>
      </c>
      <c r="B124" s="2">
        <v>2</v>
      </c>
      <c r="C124" s="2">
        <v>16</v>
      </c>
      <c r="D124" s="2">
        <v>6.08</v>
      </c>
      <c r="E124" s="2">
        <v>18</v>
      </c>
      <c r="F124" s="2">
        <v>6.3</v>
      </c>
      <c r="G124" s="2">
        <v>0.2</v>
      </c>
      <c r="H124" s="2">
        <v>9.14</v>
      </c>
      <c r="I124" s="2">
        <v>-0.35699999999999998</v>
      </c>
      <c r="J124" s="2">
        <v>39.625</v>
      </c>
      <c r="K124" s="3">
        <v>6.8051000000000003E-6</v>
      </c>
      <c r="L124" s="2">
        <v>4.4718</v>
      </c>
      <c r="M124" s="3">
        <v>3.5966000000000001E-3</v>
      </c>
      <c r="N124" s="3">
        <v>7.9681999999999994E-6</v>
      </c>
      <c r="O124" s="3">
        <v>1.5372000000000001E-3</v>
      </c>
    </row>
    <row r="125" spans="1:15" ht="15.75">
      <c r="A125" s="2">
        <v>66.400000000000006</v>
      </c>
      <c r="B125" s="2">
        <v>2</v>
      </c>
      <c r="C125" s="2">
        <v>16</v>
      </c>
      <c r="D125" s="2">
        <v>6.08</v>
      </c>
      <c r="E125" s="2">
        <v>18</v>
      </c>
      <c r="F125" s="2">
        <v>6.84</v>
      </c>
      <c r="G125" s="2">
        <v>0.2</v>
      </c>
      <c r="H125" s="2">
        <v>9.18</v>
      </c>
      <c r="I125" s="2">
        <v>-0.36099999999999999</v>
      </c>
      <c r="J125" s="2">
        <v>39.258000000000003</v>
      </c>
      <c r="K125" s="3">
        <v>1.9216E-5</v>
      </c>
      <c r="L125" s="2">
        <v>4.4848999999999997</v>
      </c>
      <c r="M125" s="3">
        <v>3.5860000000000002E-3</v>
      </c>
      <c r="N125" s="3">
        <v>2.6151000000000002E-6</v>
      </c>
      <c r="O125" s="3">
        <v>1.5380000000000001E-3</v>
      </c>
    </row>
    <row r="126" spans="1:15" ht="15.75">
      <c r="A126" s="2">
        <v>67.8</v>
      </c>
      <c r="B126" s="2">
        <v>2</v>
      </c>
      <c r="C126" s="2">
        <v>16</v>
      </c>
      <c r="D126" s="2">
        <v>5.6</v>
      </c>
      <c r="E126" s="2">
        <v>20</v>
      </c>
      <c r="F126" s="2">
        <v>7</v>
      </c>
      <c r="G126" s="2">
        <v>0.2</v>
      </c>
      <c r="H126" s="2">
        <v>7.67</v>
      </c>
      <c r="I126" s="2">
        <v>-0.34699999999999998</v>
      </c>
      <c r="J126" s="2">
        <v>44.109000000000002</v>
      </c>
      <c r="K126" s="3">
        <v>8.1149000000000002E-7</v>
      </c>
      <c r="L126" s="2">
        <v>4.8234000000000004</v>
      </c>
      <c r="M126" s="3">
        <v>4.2979999999999997E-3</v>
      </c>
      <c r="N126" s="3">
        <v>6.4582000000000003E-6</v>
      </c>
      <c r="O126" s="3">
        <v>1.7698E-3</v>
      </c>
    </row>
    <row r="127" spans="1:15" ht="15.75">
      <c r="A127" s="2">
        <v>67.8</v>
      </c>
      <c r="B127" s="2">
        <v>2</v>
      </c>
      <c r="C127" s="2">
        <v>16</v>
      </c>
      <c r="D127" s="2">
        <v>5.6</v>
      </c>
      <c r="E127" s="2">
        <v>20</v>
      </c>
      <c r="F127" s="2">
        <v>7.6</v>
      </c>
      <c r="G127" s="2">
        <v>0.2</v>
      </c>
      <c r="H127" s="2">
        <v>7.72</v>
      </c>
      <c r="I127" s="2">
        <v>-0.35099999999999998</v>
      </c>
      <c r="J127" s="2">
        <v>44.694000000000003</v>
      </c>
      <c r="K127" s="3">
        <v>2.1608000000000001E-6</v>
      </c>
      <c r="L127" s="2">
        <v>4.8650000000000002</v>
      </c>
      <c r="M127" s="3">
        <v>4.2877999999999996E-3</v>
      </c>
      <c r="N127" s="3">
        <v>5.1204000000000001E-6</v>
      </c>
      <c r="O127" s="3">
        <v>1.7707000000000001E-3</v>
      </c>
    </row>
    <row r="128" spans="1:15" ht="15.75">
      <c r="A128" s="2">
        <v>67.8</v>
      </c>
      <c r="B128" s="2">
        <v>2</v>
      </c>
      <c r="C128" s="2">
        <v>16</v>
      </c>
      <c r="D128" s="2">
        <v>6.08</v>
      </c>
      <c r="E128" s="2">
        <v>20</v>
      </c>
      <c r="F128" s="2">
        <v>7</v>
      </c>
      <c r="G128" s="2">
        <v>0.2</v>
      </c>
      <c r="H128" s="2">
        <v>7.58</v>
      </c>
      <c r="I128" s="2">
        <v>-0.34</v>
      </c>
      <c r="J128" s="2">
        <v>41.332999999999998</v>
      </c>
      <c r="K128" s="3">
        <v>2.2195000000000001E-6</v>
      </c>
      <c r="L128" s="2">
        <v>4.7483000000000004</v>
      </c>
      <c r="M128" s="3">
        <v>4.3493000000000004E-3</v>
      </c>
      <c r="N128" s="3">
        <v>2.4295000000000002E-6</v>
      </c>
      <c r="O128" s="3">
        <v>1.7833E-3</v>
      </c>
    </row>
    <row r="129" spans="1:15" ht="15.75">
      <c r="A129" s="2">
        <v>67.8</v>
      </c>
      <c r="B129" s="2">
        <v>2</v>
      </c>
      <c r="C129" s="2">
        <v>16</v>
      </c>
      <c r="D129" s="2">
        <v>6.08</v>
      </c>
      <c r="E129" s="13">
        <v>20</v>
      </c>
      <c r="F129" s="13">
        <v>7.6</v>
      </c>
      <c r="G129" s="2">
        <v>0.2</v>
      </c>
      <c r="H129" s="2">
        <v>7.61</v>
      </c>
      <c r="I129" s="2">
        <v>-0.34499999999999997</v>
      </c>
      <c r="J129" s="2">
        <v>50.003999999999998</v>
      </c>
      <c r="K129" s="3">
        <v>1.5206000000000001E-6</v>
      </c>
      <c r="L129" s="2">
        <v>4.8693</v>
      </c>
      <c r="M129" s="3">
        <v>4.3382000000000004E-3</v>
      </c>
      <c r="N129" s="3">
        <v>9.3860999999999998E-6</v>
      </c>
      <c r="O129" s="3">
        <v>1.7834000000000001E-3</v>
      </c>
    </row>
    <row r="130" spans="1:15" ht="15.75">
      <c r="A130" s="2">
        <v>54.4</v>
      </c>
      <c r="B130" s="2">
        <v>2.5</v>
      </c>
      <c r="C130" s="2">
        <v>16</v>
      </c>
      <c r="D130" s="2">
        <v>5.6</v>
      </c>
      <c r="E130" s="2">
        <v>14</v>
      </c>
      <c r="F130" s="2">
        <v>4.9000000000000004</v>
      </c>
      <c r="G130" s="2">
        <v>0.2</v>
      </c>
      <c r="H130" s="2">
        <v>23.28</v>
      </c>
      <c r="I130" s="2">
        <v>-0.28000000000000003</v>
      </c>
      <c r="J130" s="2">
        <v>20.100999999999999</v>
      </c>
      <c r="K130" s="3">
        <v>1.0927000000000001E-3</v>
      </c>
      <c r="L130" s="2">
        <v>2.6945000000000001</v>
      </c>
      <c r="M130" s="3">
        <v>1.3914999999999999E-3</v>
      </c>
      <c r="N130" s="3">
        <v>3.6855000000000001E-6</v>
      </c>
      <c r="O130" s="3">
        <v>6.8280999999999995E-4</v>
      </c>
    </row>
    <row r="131" spans="1:15" ht="15.75">
      <c r="A131" s="2">
        <v>54.4</v>
      </c>
      <c r="B131" s="2">
        <v>2.5</v>
      </c>
      <c r="C131" s="2">
        <v>16</v>
      </c>
      <c r="D131" s="2">
        <v>5.6</v>
      </c>
      <c r="E131" s="2">
        <v>14</v>
      </c>
      <c r="F131" s="2">
        <v>5.32</v>
      </c>
      <c r="G131" s="2">
        <v>0.2</v>
      </c>
      <c r="H131" s="2">
        <v>23.36</v>
      </c>
      <c r="I131" s="2">
        <v>-0.28199999999999997</v>
      </c>
      <c r="J131" s="2">
        <v>19.986999999999998</v>
      </c>
      <c r="K131" s="3">
        <v>2.1086E-3</v>
      </c>
      <c r="L131" s="2">
        <v>2.7206999999999999</v>
      </c>
      <c r="M131" s="3">
        <v>1.3878E-3</v>
      </c>
      <c r="N131" s="3">
        <v>1.0446999999999999E-6</v>
      </c>
      <c r="O131" s="3">
        <v>6.8448999999999995E-4</v>
      </c>
    </row>
    <row r="132" spans="1:15" ht="15.75">
      <c r="A132" s="2">
        <v>54.4</v>
      </c>
      <c r="B132" s="2">
        <v>2.5</v>
      </c>
      <c r="C132" s="2">
        <v>16</v>
      </c>
      <c r="D132" s="2">
        <v>6.08</v>
      </c>
      <c r="E132" s="2">
        <v>14</v>
      </c>
      <c r="F132" s="2">
        <v>4.9000000000000004</v>
      </c>
      <c r="G132" s="2">
        <v>0.2</v>
      </c>
      <c r="H132" s="2">
        <v>22.98</v>
      </c>
      <c r="I132" s="2">
        <v>-0.27800000000000002</v>
      </c>
      <c r="J132" s="2">
        <v>21.32</v>
      </c>
      <c r="K132" s="3">
        <v>5.8881999999999999E-4</v>
      </c>
      <c r="L132" s="2">
        <v>2.7456</v>
      </c>
      <c r="M132" s="3">
        <v>1.4099E-3</v>
      </c>
      <c r="N132" s="3">
        <v>4.9462000000000002E-6</v>
      </c>
      <c r="O132" s="3">
        <v>6.8258000000000001E-4</v>
      </c>
    </row>
    <row r="133" spans="1:15" ht="15.75">
      <c r="A133" s="2">
        <v>54.4</v>
      </c>
      <c r="B133" s="2">
        <v>2.5</v>
      </c>
      <c r="C133" s="2">
        <v>16</v>
      </c>
      <c r="D133" s="2">
        <v>6.08</v>
      </c>
      <c r="E133" s="2">
        <v>14</v>
      </c>
      <c r="F133" s="2">
        <v>5.32</v>
      </c>
      <c r="G133" s="2">
        <v>0.2</v>
      </c>
      <c r="H133" s="2">
        <v>23.07</v>
      </c>
      <c r="I133" s="2">
        <f>0+0.281</f>
        <v>0.28100000000000003</v>
      </c>
      <c r="J133" s="2">
        <v>21.823</v>
      </c>
      <c r="K133" s="3">
        <v>1.0874999999999999E-3</v>
      </c>
      <c r="L133" s="2">
        <v>2.7381000000000002</v>
      </c>
      <c r="M133" s="3">
        <v>1.4054E-3</v>
      </c>
      <c r="N133" s="3">
        <v>3.1922000000000001E-6</v>
      </c>
      <c r="O133" s="3">
        <v>6.8387999999999999E-4</v>
      </c>
    </row>
    <row r="134" spans="1:15" ht="15.75">
      <c r="A134" s="2">
        <v>57</v>
      </c>
      <c r="B134" s="2">
        <v>2.5</v>
      </c>
      <c r="C134" s="2">
        <v>16</v>
      </c>
      <c r="D134" s="2">
        <v>5.6</v>
      </c>
      <c r="E134" s="2">
        <v>16</v>
      </c>
      <c r="F134" s="2">
        <v>5.6</v>
      </c>
      <c r="G134" s="2">
        <v>0.2</v>
      </c>
      <c r="H134" s="2">
        <v>18.829999999999998</v>
      </c>
      <c r="I134" s="2">
        <v>-0.28599999999999998</v>
      </c>
      <c r="J134" s="2">
        <v>24.53</v>
      </c>
      <c r="K134" s="3">
        <v>3.1931E-4</v>
      </c>
      <c r="L134" s="2">
        <v>3.0112000000000001</v>
      </c>
      <c r="M134" s="3">
        <v>1.7263999999999999E-3</v>
      </c>
      <c r="N134" s="3">
        <v>1.1687999999999999E-6</v>
      </c>
      <c r="O134" s="3">
        <v>8.0382999999999995E-4</v>
      </c>
    </row>
    <row r="135" spans="1:15" ht="15.75">
      <c r="A135" s="2">
        <v>57</v>
      </c>
      <c r="B135" s="2">
        <v>2.5</v>
      </c>
      <c r="C135" s="2">
        <v>16</v>
      </c>
      <c r="D135" s="2">
        <v>5.6</v>
      </c>
      <c r="E135" s="2">
        <v>16</v>
      </c>
      <c r="F135" s="2">
        <v>6.08</v>
      </c>
      <c r="G135" s="2">
        <v>0.2</v>
      </c>
      <c r="H135" s="2">
        <v>18.91</v>
      </c>
      <c r="I135" s="2">
        <v>-0.28899999999999998</v>
      </c>
      <c r="J135" s="2">
        <v>24.082000000000001</v>
      </c>
      <c r="K135" s="3">
        <v>2.5807E-4</v>
      </c>
      <c r="L135" s="2">
        <v>3.0581999999999998</v>
      </c>
      <c r="M135" s="3">
        <v>1.722E-3</v>
      </c>
      <c r="N135" s="3">
        <v>5.6855000000000002E-8</v>
      </c>
      <c r="O135" s="3">
        <v>8.0723000000000004E-4</v>
      </c>
    </row>
    <row r="136" spans="1:15" ht="15.75">
      <c r="A136" s="2">
        <v>57</v>
      </c>
      <c r="B136" s="2">
        <v>2.5</v>
      </c>
      <c r="C136" s="2">
        <v>16</v>
      </c>
      <c r="D136" s="2">
        <v>6.08</v>
      </c>
      <c r="E136" s="2">
        <v>16</v>
      </c>
      <c r="F136" s="2">
        <v>5.6</v>
      </c>
      <c r="G136" s="2">
        <v>0.2</v>
      </c>
      <c r="H136" s="2">
        <v>18.59</v>
      </c>
      <c r="I136" s="2">
        <v>-0.28299999999999997</v>
      </c>
      <c r="J136" s="2">
        <v>23.431000000000001</v>
      </c>
      <c r="K136" s="3">
        <v>2.5717999999999997E-4</v>
      </c>
      <c r="L136" s="2">
        <v>3.0411999999999999</v>
      </c>
      <c r="M136" s="3">
        <v>1.7492E-3</v>
      </c>
      <c r="N136" s="3">
        <v>1.6102000000000001E-6</v>
      </c>
      <c r="O136" s="3">
        <v>8.0939E-4</v>
      </c>
    </row>
    <row r="137" spans="1:15" ht="15.75">
      <c r="A137" s="2">
        <v>57</v>
      </c>
      <c r="B137" s="2">
        <v>2.5</v>
      </c>
      <c r="C137" s="2">
        <v>16</v>
      </c>
      <c r="D137" s="2">
        <v>6.08</v>
      </c>
      <c r="E137" s="2">
        <v>16</v>
      </c>
      <c r="F137" s="2">
        <v>6.08</v>
      </c>
      <c r="G137" s="2">
        <v>0.2</v>
      </c>
      <c r="H137" s="2">
        <v>18.670000000000002</v>
      </c>
      <c r="I137" s="2">
        <v>-0.28599999999999998</v>
      </c>
      <c r="J137" s="2">
        <v>23.526</v>
      </c>
      <c r="K137" s="3">
        <v>3.5633000000000003E-4</v>
      </c>
      <c r="L137" s="2">
        <v>3.0525000000000002</v>
      </c>
      <c r="M137" s="3">
        <v>1.7439000000000001E-3</v>
      </c>
      <c r="N137" s="3">
        <v>1.3009999999999999E-6</v>
      </c>
      <c r="O137" s="3">
        <v>8.0827999999999998E-4</v>
      </c>
    </row>
    <row r="138" spans="1:15" ht="15.75">
      <c r="A138" s="2">
        <v>59</v>
      </c>
      <c r="B138" s="2">
        <v>2.5</v>
      </c>
      <c r="C138" s="2">
        <v>16</v>
      </c>
      <c r="D138" s="2">
        <v>5.6</v>
      </c>
      <c r="E138" s="2">
        <v>18</v>
      </c>
      <c r="F138" s="2">
        <v>6.3</v>
      </c>
      <c r="G138" s="2">
        <v>0.2</v>
      </c>
      <c r="H138" s="2">
        <v>15.52</v>
      </c>
      <c r="I138" s="2">
        <v>-0.28599999999999998</v>
      </c>
      <c r="J138" s="2">
        <v>24.221</v>
      </c>
      <c r="K138" s="3">
        <v>7.6680000000000004E-5</v>
      </c>
      <c r="L138" s="2">
        <v>3.2776999999999998</v>
      </c>
      <c r="M138" s="3">
        <v>2.1029E-3</v>
      </c>
      <c r="N138" s="3">
        <v>1.7907000000000001E-6</v>
      </c>
      <c r="O138" s="3">
        <v>9.3304E-4</v>
      </c>
    </row>
    <row r="139" spans="1:15" ht="15.75">
      <c r="A139" s="2">
        <v>59</v>
      </c>
      <c r="B139" s="2">
        <v>2.5</v>
      </c>
      <c r="C139" s="2">
        <v>16</v>
      </c>
      <c r="D139" s="2">
        <v>5.6</v>
      </c>
      <c r="E139" s="2">
        <v>18</v>
      </c>
      <c r="F139" s="2">
        <v>6.84</v>
      </c>
      <c r="G139" s="2">
        <v>0.2</v>
      </c>
      <c r="H139" s="2">
        <v>15.58</v>
      </c>
      <c r="I139" s="2">
        <v>-0.28899999999999998</v>
      </c>
      <c r="J139" s="2">
        <v>28.271999999999998</v>
      </c>
      <c r="K139" s="3">
        <v>2.1169E-4</v>
      </c>
      <c r="L139" s="2">
        <v>3.2823000000000002</v>
      </c>
      <c r="M139" s="3">
        <v>2.0974000000000001E-3</v>
      </c>
      <c r="N139" s="3">
        <v>2.5318000000000001E-6</v>
      </c>
      <c r="O139" s="3">
        <v>9.3641999999999998E-4</v>
      </c>
    </row>
    <row r="140" spans="1:15" ht="15.75">
      <c r="A140" s="2">
        <v>59</v>
      </c>
      <c r="B140" s="2">
        <v>2.5</v>
      </c>
      <c r="C140" s="2">
        <v>16</v>
      </c>
      <c r="D140" s="2">
        <v>6.08</v>
      </c>
      <c r="E140" s="2">
        <v>18</v>
      </c>
      <c r="F140" s="2">
        <v>6.3</v>
      </c>
      <c r="G140" s="2">
        <v>0.2</v>
      </c>
      <c r="H140" s="2">
        <v>15.32</v>
      </c>
      <c r="I140" s="2">
        <v>-0.28100000000000003</v>
      </c>
      <c r="J140" s="2">
        <v>26.35</v>
      </c>
      <c r="K140" s="3">
        <v>7.2072999999999999E-5</v>
      </c>
      <c r="L140" s="2">
        <v>3.226</v>
      </c>
      <c r="M140" s="3">
        <v>2.1291000000000001E-3</v>
      </c>
      <c r="N140" s="3">
        <v>3.3565000000000002E-7</v>
      </c>
      <c r="O140" s="3">
        <v>9.3891000000000005E-4</v>
      </c>
    </row>
    <row r="141" spans="1:15" ht="15.75">
      <c r="A141" s="2">
        <v>59</v>
      </c>
      <c r="B141" s="2">
        <v>2.5</v>
      </c>
      <c r="C141" s="2">
        <v>16</v>
      </c>
      <c r="D141" s="2">
        <v>6.08</v>
      </c>
      <c r="E141" s="2">
        <v>18</v>
      </c>
      <c r="F141" s="2">
        <v>6.84</v>
      </c>
      <c r="G141" s="2">
        <v>0.2</v>
      </c>
      <c r="H141" s="2">
        <v>15.39</v>
      </c>
      <c r="I141" s="2">
        <v>-0.28499999999999998</v>
      </c>
      <c r="J141" s="2">
        <v>26.765000000000001</v>
      </c>
      <c r="K141" s="3">
        <v>1.4143000000000001E-4</v>
      </c>
      <c r="L141" s="2">
        <v>3.2401</v>
      </c>
      <c r="M141" s="3">
        <v>2.1226000000000001E-3</v>
      </c>
      <c r="N141" s="3">
        <v>4.0560999999999999E-7</v>
      </c>
      <c r="O141" s="3">
        <v>9.4047E-4</v>
      </c>
    </row>
    <row r="142" spans="1:15" ht="15.75">
      <c r="A142" s="2">
        <v>60.7</v>
      </c>
      <c r="B142" s="2">
        <v>2.5</v>
      </c>
      <c r="C142" s="2">
        <v>16</v>
      </c>
      <c r="D142" s="2">
        <v>5.6</v>
      </c>
      <c r="E142" s="2">
        <v>20</v>
      </c>
      <c r="F142" s="2">
        <v>7</v>
      </c>
      <c r="G142" s="2">
        <v>0.2</v>
      </c>
      <c r="H142" s="2">
        <v>12.98</v>
      </c>
      <c r="I142" s="2">
        <v>-0.28000000000000003</v>
      </c>
      <c r="J142" s="2">
        <v>27.303999999999998</v>
      </c>
      <c r="K142" s="3">
        <v>1.5917E-5</v>
      </c>
      <c r="L142" s="2">
        <v>3.4634</v>
      </c>
      <c r="M142" s="3">
        <v>2.5214E-3</v>
      </c>
      <c r="N142" s="3">
        <v>2.2544E-6</v>
      </c>
      <c r="O142" s="3">
        <v>1.0748999999999999E-3</v>
      </c>
    </row>
    <row r="143" spans="1:15" ht="15.75">
      <c r="A143" s="2">
        <v>60.7</v>
      </c>
      <c r="B143" s="2">
        <v>2.5</v>
      </c>
      <c r="C143" s="14">
        <v>16</v>
      </c>
      <c r="D143" s="14">
        <v>5.6</v>
      </c>
      <c r="E143" s="14">
        <v>20</v>
      </c>
      <c r="F143" s="14">
        <v>7.6</v>
      </c>
      <c r="G143" s="2">
        <v>0.2</v>
      </c>
      <c r="H143" s="2">
        <v>13.04</v>
      </c>
      <c r="I143" s="2">
        <v>-0.28399999999999997</v>
      </c>
      <c r="J143" s="2">
        <v>31.119</v>
      </c>
      <c r="K143" s="3">
        <v>3.9867000000000003E-5</v>
      </c>
      <c r="L143" s="2">
        <v>3.5602999999999998</v>
      </c>
      <c r="M143" s="3">
        <v>2.5149E-3</v>
      </c>
      <c r="N143" s="3">
        <v>9.7364999999999999E-7</v>
      </c>
      <c r="O143" s="3">
        <v>1.0778999999999999E-3</v>
      </c>
    </row>
    <row r="144" spans="1:15" ht="15.75">
      <c r="A144" s="2">
        <v>60.7</v>
      </c>
      <c r="B144" s="2">
        <v>2.5</v>
      </c>
      <c r="C144" s="14">
        <v>16</v>
      </c>
      <c r="D144" s="14">
        <v>6.08</v>
      </c>
      <c r="E144" s="14">
        <v>20</v>
      </c>
      <c r="F144" s="14">
        <v>7</v>
      </c>
      <c r="G144" s="2">
        <v>0.2</v>
      </c>
      <c r="H144" s="2">
        <v>12.83</v>
      </c>
      <c r="I144" s="2">
        <v>-0.28100000000000003</v>
      </c>
      <c r="J144" s="2">
        <v>29.507000000000001</v>
      </c>
      <c r="K144" s="3">
        <v>2.6007E-5</v>
      </c>
      <c r="L144" s="2">
        <v>3.5087000000000002</v>
      </c>
      <c r="M144" s="3">
        <v>2.5496E-3</v>
      </c>
      <c r="N144" s="3">
        <v>9.2656000000000001E-7</v>
      </c>
      <c r="O144" s="3">
        <v>1.0811E-3</v>
      </c>
    </row>
    <row r="145" spans="1:15" ht="15.75">
      <c r="A145" s="2">
        <v>60.7</v>
      </c>
      <c r="B145" s="2">
        <v>2.5</v>
      </c>
      <c r="C145" s="14">
        <v>16</v>
      </c>
      <c r="D145" s="14">
        <v>6.08</v>
      </c>
      <c r="E145" s="5">
        <v>20</v>
      </c>
      <c r="F145" s="5">
        <v>7.6</v>
      </c>
      <c r="G145" s="2">
        <v>0.2</v>
      </c>
      <c r="H145" s="2">
        <v>12.89</v>
      </c>
      <c r="I145" s="2">
        <v>-0.27900000000000003</v>
      </c>
      <c r="J145" s="2">
        <v>28.265000000000001</v>
      </c>
      <c r="K145" s="3">
        <v>5.6994999999999999E-5</v>
      </c>
      <c r="L145" s="2">
        <v>3.4165000000000001</v>
      </c>
      <c r="M145" s="3">
        <v>2.5417999999999999E-3</v>
      </c>
      <c r="N145" s="3">
        <v>2.655E-6</v>
      </c>
      <c r="O145" s="3">
        <v>1.0801000000000001E-3</v>
      </c>
    </row>
    <row r="146" spans="1:15" ht="15.75">
      <c r="A146" s="2">
        <v>46.9</v>
      </c>
      <c r="B146" s="2">
        <v>3</v>
      </c>
      <c r="C146" s="2">
        <v>16</v>
      </c>
      <c r="D146" s="2">
        <v>5.6</v>
      </c>
      <c r="E146" s="2">
        <v>14</v>
      </c>
      <c r="F146" s="2">
        <v>4.9000000000000004</v>
      </c>
      <c r="G146" s="2">
        <v>0.2</v>
      </c>
      <c r="H146" s="2">
        <v>33.880000000000003</v>
      </c>
      <c r="I146" s="2">
        <v>-0.17499999999999999</v>
      </c>
      <c r="J146" s="2">
        <v>14.433999999999999</v>
      </c>
      <c r="K146" s="3">
        <v>1.9503000000000001E-3</v>
      </c>
      <c r="L146" s="2">
        <v>2.1837</v>
      </c>
      <c r="M146" s="3">
        <v>9.5012000000000004E-4</v>
      </c>
      <c r="N146" s="3">
        <v>1.7565E-6</v>
      </c>
      <c r="O146" s="3">
        <v>4.8525E-4</v>
      </c>
    </row>
    <row r="147" spans="1:15" ht="15.75">
      <c r="A147" s="2">
        <v>46.9</v>
      </c>
      <c r="B147" s="2">
        <v>3</v>
      </c>
      <c r="C147" s="2">
        <v>16</v>
      </c>
      <c r="D147" s="2">
        <v>5.6</v>
      </c>
      <c r="E147" s="2">
        <v>14</v>
      </c>
      <c r="F147" s="2">
        <v>5.32</v>
      </c>
      <c r="G147" s="2">
        <v>0.2</v>
      </c>
      <c r="H147" s="2">
        <v>33.96</v>
      </c>
      <c r="I147" s="2">
        <v>-0.17799999999999999</v>
      </c>
      <c r="J147" s="2">
        <v>15.24</v>
      </c>
      <c r="K147" s="3">
        <v>2.2956000000000001E-3</v>
      </c>
      <c r="L147" s="2">
        <v>2.1680000000000001</v>
      </c>
      <c r="M147" s="3">
        <v>9.4828000000000002E-4</v>
      </c>
      <c r="N147" s="3">
        <v>2.4897999999999999E-6</v>
      </c>
      <c r="O147" s="3">
        <v>4.8676999999999998E-4</v>
      </c>
    </row>
    <row r="148" spans="1:15" ht="15.75">
      <c r="A148" s="2">
        <v>46.9</v>
      </c>
      <c r="B148" s="2">
        <v>3</v>
      </c>
      <c r="C148" s="2">
        <v>16</v>
      </c>
      <c r="D148" s="2">
        <v>6.08</v>
      </c>
      <c r="E148" s="2">
        <v>14</v>
      </c>
      <c r="F148" s="2">
        <v>4.9000000000000004</v>
      </c>
      <c r="G148" s="2">
        <v>0.2</v>
      </c>
      <c r="H148" s="2">
        <v>33.46</v>
      </c>
      <c r="I148" s="2">
        <v>-0.17499999999999999</v>
      </c>
      <c r="J148" s="2">
        <v>14.47</v>
      </c>
      <c r="K148" s="3">
        <v>1.836E-3</v>
      </c>
      <c r="L148" s="2">
        <v>2.1730999999999998</v>
      </c>
      <c r="M148" s="3">
        <v>9.6241000000000002E-4</v>
      </c>
      <c r="N148" s="3">
        <v>2.0404E-6</v>
      </c>
      <c r="O148" s="3">
        <v>4.8584000000000002E-4</v>
      </c>
    </row>
    <row r="149" spans="1:15" ht="15.75">
      <c r="A149" s="2">
        <v>46.9</v>
      </c>
      <c r="B149" s="2">
        <v>3</v>
      </c>
      <c r="C149" s="2">
        <v>16</v>
      </c>
      <c r="D149" s="2">
        <v>6.08</v>
      </c>
      <c r="E149" s="2">
        <v>14</v>
      </c>
      <c r="F149" s="2">
        <v>5.32</v>
      </c>
      <c r="G149" s="2">
        <v>0.2</v>
      </c>
      <c r="H149" s="2">
        <v>33.56</v>
      </c>
      <c r="I149" s="2">
        <v>-0.17799999999999999</v>
      </c>
      <c r="J149" s="2">
        <v>13.555</v>
      </c>
      <c r="K149" s="3">
        <v>2.7204999999999998E-3</v>
      </c>
      <c r="L149" s="2">
        <v>2.1665000000000001</v>
      </c>
      <c r="M149" s="3">
        <v>9.6007000000000004E-4</v>
      </c>
      <c r="N149" s="3">
        <v>2.0686E-6</v>
      </c>
      <c r="O149" s="3">
        <v>4.861E-4</v>
      </c>
    </row>
    <row r="150" spans="1:15" ht="15.75">
      <c r="A150" s="2">
        <v>49.9</v>
      </c>
      <c r="B150" s="2">
        <v>3</v>
      </c>
      <c r="C150" s="2">
        <v>16</v>
      </c>
      <c r="D150" s="2">
        <v>5.6</v>
      </c>
      <c r="E150" s="2">
        <v>16</v>
      </c>
      <c r="F150" s="2">
        <v>5.6</v>
      </c>
      <c r="G150" s="2">
        <v>0.2</v>
      </c>
      <c r="H150" s="2">
        <v>27.72</v>
      </c>
      <c r="I150" s="2">
        <v>-0.19500000000000001</v>
      </c>
      <c r="J150" s="2">
        <v>17.283000000000001</v>
      </c>
      <c r="K150" s="3">
        <v>4.9005000000000001E-4</v>
      </c>
      <c r="L150" s="2">
        <v>2.3696000000000002</v>
      </c>
      <c r="M150" s="3">
        <v>1.1649E-3</v>
      </c>
      <c r="N150" s="3">
        <v>4.1027999999999999E-6</v>
      </c>
      <c r="O150" s="3">
        <v>5.6627999999999995E-4</v>
      </c>
    </row>
    <row r="151" spans="1:15" ht="15.75">
      <c r="A151" s="2">
        <v>49.9</v>
      </c>
      <c r="B151" s="2">
        <v>3</v>
      </c>
      <c r="C151" s="2">
        <v>16</v>
      </c>
      <c r="D151" s="2">
        <v>5.6</v>
      </c>
      <c r="E151" s="2">
        <v>16</v>
      </c>
      <c r="F151" s="2">
        <v>6.08</v>
      </c>
      <c r="G151" s="2">
        <v>0.2</v>
      </c>
      <c r="H151" s="2">
        <v>27.81</v>
      </c>
      <c r="I151" s="2">
        <v>-0.19800000000000001</v>
      </c>
      <c r="J151" s="2">
        <v>16.286999999999999</v>
      </c>
      <c r="K151" s="3">
        <v>1.4159999999999999E-3</v>
      </c>
      <c r="L151" s="2">
        <v>2.3713000000000002</v>
      </c>
      <c r="M151" s="3">
        <v>1.1620000000000001E-3</v>
      </c>
      <c r="N151" s="3">
        <v>6.2640999999999999E-6</v>
      </c>
      <c r="O151" s="3">
        <v>5.6860999999999999E-4</v>
      </c>
    </row>
    <row r="152" spans="1:15" ht="15.75">
      <c r="A152" s="2">
        <v>49.9</v>
      </c>
      <c r="B152" s="2">
        <v>3</v>
      </c>
      <c r="C152" s="2">
        <v>16</v>
      </c>
      <c r="D152" s="2">
        <v>6.08</v>
      </c>
      <c r="E152" s="2">
        <v>16</v>
      </c>
      <c r="F152" s="2">
        <v>5.6</v>
      </c>
      <c r="G152" s="2">
        <v>0.2</v>
      </c>
      <c r="H152" s="2">
        <v>27.37</v>
      </c>
      <c r="I152" s="2">
        <v>-0.193</v>
      </c>
      <c r="J152" s="2">
        <v>17.614000000000001</v>
      </c>
      <c r="K152" s="3">
        <v>8.3507000000000004E-4</v>
      </c>
      <c r="L152" s="2">
        <v>2.3717000000000001</v>
      </c>
      <c r="M152" s="3">
        <v>1.1797999999999999E-3</v>
      </c>
      <c r="N152" s="3">
        <v>2.4746E-6</v>
      </c>
      <c r="O152" s="3">
        <v>5.6793000000000002E-4</v>
      </c>
    </row>
    <row r="153" spans="1:15" ht="15.75">
      <c r="A153" s="2">
        <v>49.9</v>
      </c>
      <c r="B153" s="2">
        <v>3</v>
      </c>
      <c r="C153" s="2">
        <v>16</v>
      </c>
      <c r="D153" s="2">
        <v>6.08</v>
      </c>
      <c r="E153" s="2">
        <v>16</v>
      </c>
      <c r="F153" s="2">
        <v>6.08</v>
      </c>
      <c r="G153" s="2">
        <v>0.2</v>
      </c>
      <c r="H153" s="2">
        <v>27.47</v>
      </c>
      <c r="I153" s="2">
        <v>-0.19600000000000001</v>
      </c>
      <c r="J153" s="2">
        <v>17.782</v>
      </c>
      <c r="K153" s="3">
        <v>1.5432E-3</v>
      </c>
      <c r="L153" s="2">
        <v>2.391</v>
      </c>
      <c r="M153" s="3">
        <v>1.1766999999999999E-3</v>
      </c>
      <c r="N153" s="3">
        <v>5.0151999999999999E-6</v>
      </c>
      <c r="O153" s="3">
        <v>5.6937000000000003E-4</v>
      </c>
    </row>
    <row r="154" spans="1:15" ht="15.75">
      <c r="A154" s="2">
        <v>52.2</v>
      </c>
      <c r="B154" s="2">
        <v>3</v>
      </c>
      <c r="C154" s="2">
        <v>16</v>
      </c>
      <c r="D154" s="2">
        <v>5.6</v>
      </c>
      <c r="E154" s="2">
        <v>18</v>
      </c>
      <c r="F154" s="2">
        <v>6.3</v>
      </c>
      <c r="G154" s="2">
        <v>0.2</v>
      </c>
      <c r="H154" s="2">
        <v>23.06</v>
      </c>
      <c r="I154" s="2">
        <v>-0.20499999999999999</v>
      </c>
      <c r="J154" s="2">
        <v>19.277999999999999</v>
      </c>
      <c r="K154" s="3">
        <v>4.9808999999999997E-4</v>
      </c>
      <c r="L154" s="2">
        <v>2.5646</v>
      </c>
      <c r="M154" s="3">
        <v>1.4044999999999999E-3</v>
      </c>
      <c r="N154" s="3">
        <v>7.5456E-7</v>
      </c>
      <c r="O154" s="3">
        <v>6.5266E-4</v>
      </c>
    </row>
    <row r="155" spans="1:15" ht="15.75">
      <c r="A155" s="2">
        <v>52.2</v>
      </c>
      <c r="B155" s="2">
        <v>3</v>
      </c>
      <c r="C155" s="2">
        <v>16</v>
      </c>
      <c r="D155" s="2">
        <v>5.6</v>
      </c>
      <c r="E155" s="2">
        <v>18</v>
      </c>
      <c r="F155" s="2">
        <v>6.84</v>
      </c>
      <c r="G155" s="2">
        <v>0.2</v>
      </c>
      <c r="H155" s="2">
        <v>23.15</v>
      </c>
      <c r="I155" s="2">
        <v>-0.20799999999999999</v>
      </c>
      <c r="J155" s="2">
        <v>19.709</v>
      </c>
      <c r="K155" s="3">
        <v>3.099E-4</v>
      </c>
      <c r="L155" s="2">
        <v>2.6031</v>
      </c>
      <c r="M155" s="3">
        <v>1.4002999999999999E-3</v>
      </c>
      <c r="N155" s="3">
        <v>1.6682000000000001E-7</v>
      </c>
      <c r="O155" s="3">
        <v>6.5366999999999997E-4</v>
      </c>
    </row>
    <row r="156" spans="1:15" ht="15.75">
      <c r="A156" s="2">
        <v>52.2</v>
      </c>
      <c r="B156" s="2">
        <v>3</v>
      </c>
      <c r="C156" s="2">
        <v>16</v>
      </c>
      <c r="D156" s="2">
        <v>6.08</v>
      </c>
      <c r="E156" s="2">
        <v>18</v>
      </c>
      <c r="F156" s="2">
        <v>6.3</v>
      </c>
      <c r="G156" s="2">
        <v>0.2</v>
      </c>
      <c r="H156" s="2">
        <v>22.79</v>
      </c>
      <c r="I156" s="2">
        <v>-0.20200000000000001</v>
      </c>
      <c r="J156" s="2">
        <v>19.419</v>
      </c>
      <c r="K156" s="3">
        <v>4.9695000000000002E-4</v>
      </c>
      <c r="L156" s="2">
        <v>2.5627</v>
      </c>
      <c r="M156" s="3">
        <v>1.4211E-3</v>
      </c>
      <c r="N156" s="3">
        <v>3.0689999999999998E-7</v>
      </c>
      <c r="O156" s="3">
        <v>6.5441999999999996E-4</v>
      </c>
    </row>
    <row r="157" spans="1:15" ht="15.75">
      <c r="A157" s="2">
        <v>52.2</v>
      </c>
      <c r="B157" s="2">
        <v>3</v>
      </c>
      <c r="C157" s="2">
        <v>16</v>
      </c>
      <c r="D157" s="2">
        <v>6.08</v>
      </c>
      <c r="E157" s="2">
        <v>18</v>
      </c>
      <c r="F157" s="2">
        <v>6.84</v>
      </c>
      <c r="G157" s="2">
        <v>0.2</v>
      </c>
      <c r="H157" s="2">
        <v>22.88</v>
      </c>
      <c r="I157" s="2">
        <v>-0.20599999999999999</v>
      </c>
      <c r="J157" s="2">
        <v>19.731000000000002</v>
      </c>
      <c r="K157" s="3">
        <v>6.6659E-4</v>
      </c>
      <c r="L157" s="2">
        <v>2.6004</v>
      </c>
      <c r="M157" s="3">
        <v>1.4173E-3</v>
      </c>
      <c r="N157" s="3">
        <v>1.5001E-6</v>
      </c>
      <c r="O157" s="3">
        <v>6.5499000000000004E-4</v>
      </c>
    </row>
    <row r="158" spans="1:15" ht="15.75">
      <c r="A158" s="2">
        <v>54</v>
      </c>
      <c r="B158" s="2">
        <v>3</v>
      </c>
      <c r="C158" s="2">
        <v>16</v>
      </c>
      <c r="D158" s="2">
        <v>5.6</v>
      </c>
      <c r="E158" s="2">
        <v>20</v>
      </c>
      <c r="F158" s="2">
        <v>7</v>
      </c>
      <c r="G158" s="2">
        <v>0.2</v>
      </c>
      <c r="H158" s="2">
        <v>19.46</v>
      </c>
      <c r="I158" s="2">
        <v>-0.21</v>
      </c>
      <c r="J158" s="2">
        <v>21.204999999999998</v>
      </c>
      <c r="K158" s="3">
        <v>1.6725E-4</v>
      </c>
      <c r="L158" s="2">
        <v>2.7378999999999998</v>
      </c>
      <c r="M158" s="3">
        <v>1.6689000000000001E-3</v>
      </c>
      <c r="N158" s="3">
        <v>5.5791000000000005E-7</v>
      </c>
      <c r="O158" s="3">
        <v>7.4273000000000004E-4</v>
      </c>
    </row>
    <row r="159" spans="1:15" ht="15.75">
      <c r="A159" s="2">
        <v>54</v>
      </c>
      <c r="B159" s="2">
        <v>3</v>
      </c>
      <c r="C159" s="2">
        <v>16</v>
      </c>
      <c r="D159" s="2">
        <v>5.6</v>
      </c>
      <c r="E159" s="2">
        <v>20</v>
      </c>
      <c r="F159" s="2">
        <v>7.6</v>
      </c>
      <c r="G159" s="2">
        <v>0.2</v>
      </c>
      <c r="H159" s="2">
        <v>19.54</v>
      </c>
      <c r="I159" s="2">
        <v>-0.21299999999999999</v>
      </c>
      <c r="J159" s="2">
        <v>22.288</v>
      </c>
      <c r="K159" s="3">
        <v>2.6480999999999998E-4</v>
      </c>
      <c r="L159" s="2">
        <v>2.722</v>
      </c>
      <c r="M159" s="3">
        <v>1.6641E-3</v>
      </c>
      <c r="N159" s="3">
        <v>1.5475E-6</v>
      </c>
      <c r="O159" s="3">
        <v>7.4363000000000001E-4</v>
      </c>
    </row>
    <row r="160" spans="1:15" ht="15.75">
      <c r="A160" s="2">
        <v>54</v>
      </c>
      <c r="B160" s="2">
        <v>3</v>
      </c>
      <c r="C160" s="2">
        <v>16</v>
      </c>
      <c r="D160" s="2">
        <v>6.08</v>
      </c>
      <c r="E160" s="2">
        <v>20</v>
      </c>
      <c r="F160" s="2">
        <v>7</v>
      </c>
      <c r="G160" s="2">
        <v>0.2</v>
      </c>
      <c r="H160" s="2">
        <v>19.260000000000002</v>
      </c>
      <c r="I160" s="2">
        <v>-0.20499999999999999</v>
      </c>
      <c r="J160" s="2">
        <v>21.75</v>
      </c>
      <c r="K160" s="3">
        <v>1.3961999999999999E-4</v>
      </c>
      <c r="L160" s="2">
        <v>2.7547999999999999</v>
      </c>
      <c r="M160" s="3">
        <v>1.6863E-3</v>
      </c>
      <c r="N160" s="3">
        <v>8.1288999999999994E-8</v>
      </c>
      <c r="O160" s="3">
        <v>7.4598000000000004E-4</v>
      </c>
    </row>
    <row r="161" spans="1:15" ht="15.75">
      <c r="A161" s="2">
        <v>54</v>
      </c>
      <c r="B161" s="2">
        <v>3</v>
      </c>
      <c r="C161" s="2">
        <v>16</v>
      </c>
      <c r="D161" s="2">
        <v>6.08</v>
      </c>
      <c r="E161" s="13">
        <v>20</v>
      </c>
      <c r="F161" s="13">
        <v>7.6</v>
      </c>
      <c r="G161" s="2">
        <v>0.2</v>
      </c>
      <c r="H161" s="2">
        <v>19.39</v>
      </c>
      <c r="I161" s="2">
        <v>-0.20899999999999999</v>
      </c>
      <c r="J161" s="2">
        <v>20.234000000000002</v>
      </c>
      <c r="K161" s="3">
        <v>2.7240000000000001E-4</v>
      </c>
      <c r="L161" s="2">
        <v>2.7528999999999999</v>
      </c>
      <c r="M161" s="3">
        <v>1.6765E-3</v>
      </c>
      <c r="N161" s="3">
        <v>2.1360000000000001E-7</v>
      </c>
      <c r="O161" s="3">
        <v>7.4416E-4</v>
      </c>
    </row>
    <row r="162" spans="1:15" ht="15.75">
      <c r="A162" s="2">
        <v>81</v>
      </c>
      <c r="B162" s="8">
        <v>1</v>
      </c>
      <c r="C162" s="8">
        <v>18</v>
      </c>
      <c r="D162" s="8">
        <v>6.3</v>
      </c>
      <c r="E162" s="8">
        <v>14</v>
      </c>
      <c r="F162" s="8">
        <v>4.9000000000000004</v>
      </c>
      <c r="G162" s="8">
        <v>0.2</v>
      </c>
      <c r="H162" s="2">
        <v>2.19</v>
      </c>
      <c r="I162" s="2">
        <v>-0.58599999999999997</v>
      </c>
      <c r="J162" s="2">
        <v>91.414000000000001</v>
      </c>
      <c r="K162" s="3">
        <v>5.4014999999999999E-6</v>
      </c>
      <c r="L162" s="2">
        <v>11.948</v>
      </c>
      <c r="M162" s="3">
        <v>1.6882999999999999E-2</v>
      </c>
      <c r="N162" s="3">
        <v>2.3940000000000001E-5</v>
      </c>
      <c r="O162" s="3">
        <v>8.0780000000000001E-3</v>
      </c>
    </row>
    <row r="163" spans="1:15" ht="15.75">
      <c r="A163" s="2">
        <v>81</v>
      </c>
      <c r="B163" s="2">
        <v>1</v>
      </c>
      <c r="C163" s="2">
        <v>18</v>
      </c>
      <c r="D163" s="2">
        <v>6.3</v>
      </c>
      <c r="E163" s="2">
        <v>14</v>
      </c>
      <c r="F163" s="2">
        <v>5.32</v>
      </c>
      <c r="G163" s="2">
        <v>0.2</v>
      </c>
      <c r="H163" s="2">
        <v>2.2000000000000002</v>
      </c>
      <c r="I163" s="2">
        <v>-0.58699999999999997</v>
      </c>
      <c r="J163" s="2">
        <v>94.902000000000001</v>
      </c>
      <c r="K163" s="3">
        <v>2.751E-6</v>
      </c>
      <c r="L163" s="2">
        <v>12.173999999999999</v>
      </c>
      <c r="M163" s="3">
        <v>1.6854000000000001E-2</v>
      </c>
      <c r="N163" s="3">
        <v>2.3833999999999999E-5</v>
      </c>
      <c r="O163" s="3">
        <v>8.1448000000000007E-3</v>
      </c>
    </row>
    <row r="164" spans="1:15" ht="15.75">
      <c r="A164" s="2">
        <v>81</v>
      </c>
      <c r="B164" s="2">
        <v>1</v>
      </c>
      <c r="C164" s="2">
        <v>18</v>
      </c>
      <c r="D164" s="2">
        <v>6.84</v>
      </c>
      <c r="E164" s="2">
        <v>14</v>
      </c>
      <c r="F164" s="2">
        <v>4.9000000000000004</v>
      </c>
      <c r="G164" s="2">
        <v>0.2</v>
      </c>
      <c r="H164" s="2">
        <v>2.17</v>
      </c>
      <c r="I164" s="2">
        <v>-0.58099999999999996</v>
      </c>
      <c r="J164" s="2">
        <v>111.11</v>
      </c>
      <c r="K164" s="3">
        <v>8.3252999999999995E-7</v>
      </c>
      <c r="L164" s="2">
        <v>12.163</v>
      </c>
      <c r="M164" s="3">
        <v>1.7099E-2</v>
      </c>
      <c r="N164" s="3">
        <v>2.0378E-5</v>
      </c>
      <c r="O164" s="3">
        <v>8.1325000000000008E-3</v>
      </c>
    </row>
    <row r="165" spans="1:15" ht="15.75">
      <c r="A165" s="2">
        <v>81</v>
      </c>
      <c r="B165" s="2">
        <v>1</v>
      </c>
      <c r="C165" s="2">
        <v>18</v>
      </c>
      <c r="D165" s="2">
        <v>6.84</v>
      </c>
      <c r="E165" s="2">
        <v>14</v>
      </c>
      <c r="F165" s="2">
        <v>5.32</v>
      </c>
      <c r="G165" s="2">
        <v>0.2</v>
      </c>
      <c r="H165" s="2">
        <v>2.1800000000000002</v>
      </c>
      <c r="I165" s="2">
        <v>-0.58299999999999996</v>
      </c>
      <c r="J165" s="2">
        <v>112.03</v>
      </c>
      <c r="K165" s="3">
        <v>5.2665999999999997E-6</v>
      </c>
      <c r="L165" s="2">
        <v>12.202999999999999</v>
      </c>
      <c r="M165" s="3">
        <v>1.7042000000000002E-2</v>
      </c>
      <c r="N165" s="3">
        <v>2.2038000000000001E-5</v>
      </c>
      <c r="O165" s="3">
        <v>8.1057000000000004E-3</v>
      </c>
    </row>
    <row r="166" spans="1:15" ht="15.75">
      <c r="A166" s="2">
        <v>82.3</v>
      </c>
      <c r="B166" s="8">
        <v>1</v>
      </c>
      <c r="C166" s="8">
        <v>18</v>
      </c>
      <c r="D166" s="8">
        <v>6.3</v>
      </c>
      <c r="E166" s="8">
        <v>16</v>
      </c>
      <c r="F166" s="8">
        <v>5.6</v>
      </c>
      <c r="G166" s="8">
        <v>0.2</v>
      </c>
      <c r="H166" s="2">
        <v>1.72</v>
      </c>
      <c r="I166" s="2">
        <v>-0.55800000000000005</v>
      </c>
      <c r="J166" s="2">
        <v>106.97</v>
      </c>
      <c r="K166" s="3">
        <v>6.9894000000000004E-7</v>
      </c>
      <c r="L166" s="2">
        <v>13.553000000000001</v>
      </c>
      <c r="M166" s="3">
        <v>2.1579999999999998E-2</v>
      </c>
      <c r="N166" s="3">
        <v>2.7752000000000001E-5</v>
      </c>
      <c r="O166" s="3">
        <v>9.7841999999999998E-3</v>
      </c>
    </row>
    <row r="167" spans="1:15" ht="15.75">
      <c r="A167" s="2">
        <v>82.3</v>
      </c>
      <c r="B167" s="2">
        <v>1</v>
      </c>
      <c r="C167" s="2">
        <v>18</v>
      </c>
      <c r="D167" s="2">
        <v>6.3</v>
      </c>
      <c r="E167" s="2">
        <v>16</v>
      </c>
      <c r="F167" s="2">
        <v>6.08</v>
      </c>
      <c r="G167" s="2">
        <v>0.2</v>
      </c>
      <c r="H167" s="2">
        <v>1.73</v>
      </c>
      <c r="I167" s="2">
        <v>-0.55900000000000005</v>
      </c>
      <c r="J167" s="2">
        <v>113.64</v>
      </c>
      <c r="K167" s="3">
        <v>8.0004000000000006E-8</v>
      </c>
      <c r="L167" s="2">
        <v>13.605</v>
      </c>
      <c r="M167" s="3">
        <v>2.1572000000000001E-2</v>
      </c>
      <c r="N167" s="3">
        <v>3.6075999999999998E-5</v>
      </c>
      <c r="O167" s="3">
        <v>9.8428999999999999E-3</v>
      </c>
    </row>
    <row r="168" spans="1:15" ht="15.75">
      <c r="A168" s="2">
        <v>82.3</v>
      </c>
      <c r="B168" s="2">
        <v>1</v>
      </c>
      <c r="C168" s="2">
        <v>18</v>
      </c>
      <c r="D168" s="2">
        <v>6.84</v>
      </c>
      <c r="E168" s="2">
        <v>16</v>
      </c>
      <c r="F168" s="2">
        <v>5.6</v>
      </c>
      <c r="G168" s="2">
        <v>0.2</v>
      </c>
      <c r="H168" s="2">
        <v>1.7</v>
      </c>
      <c r="I168" s="2">
        <v>-0.55100000000000005</v>
      </c>
      <c r="J168" s="2">
        <v>115.57</v>
      </c>
      <c r="K168" s="3">
        <v>3.5195000000000002E-7</v>
      </c>
      <c r="L168" s="2">
        <v>13.742000000000001</v>
      </c>
      <c r="M168" s="3">
        <v>2.1887E-2</v>
      </c>
      <c r="N168" s="3">
        <v>3.1247000000000001E-5</v>
      </c>
      <c r="O168" s="3">
        <v>9.8504000000000005E-3</v>
      </c>
    </row>
    <row r="169" spans="1:15" ht="15.75">
      <c r="A169" s="2">
        <v>82.3</v>
      </c>
      <c r="B169" s="2">
        <v>1</v>
      </c>
      <c r="C169" s="2">
        <v>18</v>
      </c>
      <c r="D169" s="2">
        <v>6.84</v>
      </c>
      <c r="E169" s="2">
        <v>16</v>
      </c>
      <c r="F169" s="2">
        <v>6.08</v>
      </c>
      <c r="G169" s="2">
        <v>0.2</v>
      </c>
      <c r="H169" s="2">
        <v>1.7</v>
      </c>
      <c r="I169" s="2">
        <v>-0.55300000000000005</v>
      </c>
      <c r="J169" s="2">
        <v>111.41</v>
      </c>
      <c r="K169" s="3">
        <v>5.1279999999999999E-7</v>
      </c>
      <c r="L169" s="2">
        <v>13.587999999999999</v>
      </c>
      <c r="M169" s="3">
        <v>2.1852E-2</v>
      </c>
      <c r="N169" s="3">
        <v>3.6575000000000001E-5</v>
      </c>
      <c r="O169" s="3">
        <v>9.8861000000000001E-3</v>
      </c>
    </row>
    <row r="170" spans="1:15" ht="15.75">
      <c r="A170" s="2">
        <v>83.3</v>
      </c>
      <c r="B170" s="8">
        <v>1</v>
      </c>
      <c r="C170" s="8">
        <v>18</v>
      </c>
      <c r="D170" s="8">
        <v>6.3</v>
      </c>
      <c r="E170" s="8">
        <v>18</v>
      </c>
      <c r="F170" s="8">
        <v>6.3</v>
      </c>
      <c r="G170" s="8">
        <v>0.2</v>
      </c>
      <c r="H170" s="2">
        <v>1.38</v>
      </c>
      <c r="I170" s="2">
        <v>-0.52700000000000002</v>
      </c>
      <c r="J170" s="2">
        <v>131.82</v>
      </c>
      <c r="K170" s="3">
        <v>1.9233000000000001E-8</v>
      </c>
      <c r="L170" s="2">
        <v>14.752000000000001</v>
      </c>
      <c r="M170" s="3">
        <v>2.7E-2</v>
      </c>
      <c r="N170" s="3">
        <v>4.7076000000000001E-5</v>
      </c>
      <c r="O170" s="3">
        <v>1.1679E-2</v>
      </c>
    </row>
    <row r="171" spans="1:15" ht="15.75">
      <c r="A171" s="2">
        <v>83.3</v>
      </c>
      <c r="B171" s="2">
        <v>1</v>
      </c>
      <c r="C171" s="2">
        <v>18</v>
      </c>
      <c r="D171" s="2">
        <v>6.3</v>
      </c>
      <c r="E171" s="2">
        <v>18</v>
      </c>
      <c r="F171" s="2">
        <v>6.84</v>
      </c>
      <c r="G171" s="2">
        <v>0.2</v>
      </c>
      <c r="H171" s="2">
        <v>1.36</v>
      </c>
      <c r="I171" s="2">
        <v>-0.51900000000000002</v>
      </c>
      <c r="J171" s="2">
        <v>129.59</v>
      </c>
      <c r="K171" s="3">
        <v>7.5743000000000005E-8</v>
      </c>
      <c r="L171" s="2">
        <v>14.952</v>
      </c>
      <c r="M171" s="3">
        <v>2.7418999999999999E-2</v>
      </c>
      <c r="N171" s="3">
        <v>4.7579E-5</v>
      </c>
      <c r="O171" s="3">
        <v>1.1779E-2</v>
      </c>
    </row>
    <row r="172" spans="1:15" ht="15.75">
      <c r="A172" s="2">
        <v>83.3</v>
      </c>
      <c r="B172" s="2">
        <v>1</v>
      </c>
      <c r="C172" s="2">
        <v>18</v>
      </c>
      <c r="D172" s="2">
        <v>6.84</v>
      </c>
      <c r="E172" s="2">
        <v>18</v>
      </c>
      <c r="F172" s="2">
        <v>6.3</v>
      </c>
      <c r="G172" s="2">
        <v>0.2</v>
      </c>
      <c r="H172" s="2">
        <v>1.36</v>
      </c>
      <c r="I172" s="2">
        <v>-0.51900000000000002</v>
      </c>
      <c r="J172" s="2">
        <v>129.59</v>
      </c>
      <c r="K172" s="3">
        <v>7.5743000000000005E-8</v>
      </c>
      <c r="L172" s="2">
        <v>14.952</v>
      </c>
      <c r="M172" s="3">
        <v>2.7418999999999999E-2</v>
      </c>
      <c r="N172" s="3">
        <v>4.7579E-5</v>
      </c>
      <c r="O172" s="3">
        <v>1.1779E-2</v>
      </c>
    </row>
    <row r="173" spans="1:15" ht="15.75">
      <c r="A173" s="2">
        <v>83.3</v>
      </c>
      <c r="B173" s="2">
        <v>1</v>
      </c>
      <c r="C173" s="2">
        <v>18</v>
      </c>
      <c r="D173" s="2">
        <v>6.84</v>
      </c>
      <c r="E173" s="2">
        <v>18</v>
      </c>
      <c r="F173" s="2">
        <v>6.84</v>
      </c>
      <c r="G173" s="2">
        <v>0.2</v>
      </c>
      <c r="H173" s="2">
        <v>1.37</v>
      </c>
      <c r="I173" s="2">
        <v>-0.52200000000000002</v>
      </c>
      <c r="J173" s="2">
        <v>115.99</v>
      </c>
      <c r="K173" s="3">
        <v>6.2870000000000006E-8</v>
      </c>
      <c r="L173" s="2">
        <v>15.068</v>
      </c>
      <c r="M173" s="3">
        <v>2.7359000000000001E-2</v>
      </c>
      <c r="N173" s="3">
        <v>5.0445000000000002E-5</v>
      </c>
      <c r="O173" s="3">
        <v>1.1757E-2</v>
      </c>
    </row>
    <row r="174" spans="1:15" ht="15.75">
      <c r="A174" s="2">
        <v>84.1</v>
      </c>
      <c r="B174" s="8">
        <v>1</v>
      </c>
      <c r="C174" s="8">
        <v>18</v>
      </c>
      <c r="D174" s="8">
        <v>6.3</v>
      </c>
      <c r="E174" s="8">
        <v>20</v>
      </c>
      <c r="F174" s="8">
        <v>7</v>
      </c>
      <c r="G174" s="8">
        <v>0.2</v>
      </c>
      <c r="H174" s="2">
        <v>1.1299999999999999</v>
      </c>
      <c r="I174" s="2">
        <v>-0.496</v>
      </c>
      <c r="J174" s="2">
        <v>138.41999999999999</v>
      </c>
      <c r="K174" s="3">
        <v>1.2301E-8</v>
      </c>
      <c r="L174" s="2">
        <v>16.007999999999999</v>
      </c>
      <c r="M174" s="3">
        <v>3.3214E-2</v>
      </c>
      <c r="N174" s="3">
        <v>1.3857999999999999E-4</v>
      </c>
      <c r="O174" s="3">
        <v>1.3738999999999999E-2</v>
      </c>
    </row>
    <row r="175" spans="1:15" ht="15.75">
      <c r="A175" s="2">
        <v>84.1</v>
      </c>
      <c r="B175" s="8">
        <v>1</v>
      </c>
      <c r="C175" s="8">
        <v>18</v>
      </c>
      <c r="D175" s="8">
        <v>6.3</v>
      </c>
      <c r="E175" s="8">
        <v>20</v>
      </c>
      <c r="F175" s="8">
        <v>7.6</v>
      </c>
      <c r="G175" s="8">
        <v>0.2</v>
      </c>
      <c r="H175" s="2">
        <v>1.1299999999999999</v>
      </c>
      <c r="I175" s="2">
        <v>-0.499</v>
      </c>
      <c r="J175" s="2">
        <v>158.83000000000001</v>
      </c>
      <c r="K175" s="3">
        <v>1.5996000000000001E-7</v>
      </c>
      <c r="L175" s="2">
        <v>16.361000000000001</v>
      </c>
      <c r="M175" s="3">
        <v>3.3196000000000003E-2</v>
      </c>
      <c r="N175" s="3">
        <v>1.0598E-4</v>
      </c>
      <c r="O175" s="3">
        <v>1.3802999999999999E-2</v>
      </c>
    </row>
    <row r="176" spans="1:15" ht="15.75">
      <c r="A176" s="2">
        <v>84.1</v>
      </c>
      <c r="B176" s="8">
        <v>1</v>
      </c>
      <c r="C176" s="8">
        <v>18</v>
      </c>
      <c r="D176" s="8">
        <v>6.84</v>
      </c>
      <c r="E176" s="8">
        <v>20</v>
      </c>
      <c r="F176" s="8">
        <v>7</v>
      </c>
      <c r="G176" s="8">
        <v>0.2</v>
      </c>
      <c r="H176" s="2">
        <v>1.1100000000000001</v>
      </c>
      <c r="I176" s="2">
        <v>-0.48699999999999999</v>
      </c>
      <c r="J176" s="2">
        <v>135.32</v>
      </c>
      <c r="K176" s="3">
        <v>1.2903999999999999E-8</v>
      </c>
      <c r="L176" s="2">
        <v>16.41</v>
      </c>
      <c r="M176" s="3">
        <v>3.3695999999999997E-2</v>
      </c>
      <c r="N176" s="3">
        <v>1.0832000000000001E-4</v>
      </c>
      <c r="O176" s="3">
        <v>1.3856E-2</v>
      </c>
    </row>
    <row r="177" spans="1:15" ht="15.75">
      <c r="A177" s="2">
        <v>84.1</v>
      </c>
      <c r="B177" s="8">
        <v>1</v>
      </c>
      <c r="C177" s="8">
        <v>18</v>
      </c>
      <c r="D177" s="8">
        <v>6.84</v>
      </c>
      <c r="E177" s="13">
        <v>20</v>
      </c>
      <c r="F177" s="13">
        <v>7.6</v>
      </c>
      <c r="G177" s="8">
        <v>0.2</v>
      </c>
      <c r="H177" s="2">
        <v>1.1100000000000001</v>
      </c>
      <c r="I177" s="2">
        <v>-0.49099999999999999</v>
      </c>
      <c r="J177" s="2">
        <v>172.36</v>
      </c>
      <c r="K177" s="3">
        <v>2.8617999999999999E-8</v>
      </c>
      <c r="L177" s="2">
        <v>16.608000000000001</v>
      </c>
      <c r="M177" s="3">
        <v>3.3649999999999999E-2</v>
      </c>
      <c r="N177" s="3">
        <v>5.1606E-5</v>
      </c>
      <c r="O177" s="3">
        <v>1.3892E-2</v>
      </c>
    </row>
    <row r="178" spans="1:15" ht="15.75">
      <c r="A178" s="8">
        <v>72.3</v>
      </c>
      <c r="B178" s="8">
        <v>1.5</v>
      </c>
      <c r="C178" s="8">
        <v>18</v>
      </c>
      <c r="D178" s="8">
        <v>6.3</v>
      </c>
      <c r="E178" s="8">
        <v>14</v>
      </c>
      <c r="F178" s="8">
        <v>4.9000000000000004</v>
      </c>
      <c r="G178" s="8">
        <v>0.2</v>
      </c>
      <c r="H178" s="2">
        <v>6.47</v>
      </c>
      <c r="I178" s="2">
        <v>-0.52200000000000002</v>
      </c>
      <c r="J178" s="2">
        <v>52.603999999999999</v>
      </c>
      <c r="K178" s="3">
        <v>1.2432000000000001E-5</v>
      </c>
      <c r="L178" s="2">
        <v>6.2149999999999999</v>
      </c>
      <c r="M178" s="3">
        <v>5.7045999999999998E-3</v>
      </c>
      <c r="N178" s="3">
        <v>6.2415000000000003E-6</v>
      </c>
      <c r="O178" s="3">
        <v>2.7620000000000001E-3</v>
      </c>
    </row>
    <row r="179" spans="1:15" ht="15.75">
      <c r="A179" s="2">
        <v>72.3</v>
      </c>
      <c r="B179" s="2">
        <v>1.5</v>
      </c>
      <c r="C179" s="2">
        <v>18</v>
      </c>
      <c r="D179" s="2">
        <v>6.3</v>
      </c>
      <c r="E179" s="2">
        <v>14</v>
      </c>
      <c r="F179" s="2">
        <v>5.32</v>
      </c>
      <c r="G179" s="2">
        <v>0.2</v>
      </c>
      <c r="H179" s="2">
        <v>6.5</v>
      </c>
      <c r="I179" s="2">
        <v>-0.52400000000000002</v>
      </c>
      <c r="J179" s="2">
        <v>47.716999999999999</v>
      </c>
      <c r="K179" s="3">
        <v>2.6854000000000001E-5</v>
      </c>
      <c r="L179" s="2">
        <v>6.2480000000000002</v>
      </c>
      <c r="M179" s="3">
        <v>5.6902999999999997E-3</v>
      </c>
      <c r="N179" s="3">
        <v>1.2243000000000001E-6</v>
      </c>
      <c r="O179" s="3">
        <v>2.7637E-3</v>
      </c>
    </row>
    <row r="180" spans="1:15" ht="15.75">
      <c r="A180" s="2">
        <v>72.3</v>
      </c>
      <c r="B180" s="2">
        <v>1.5</v>
      </c>
      <c r="C180" s="2">
        <v>18</v>
      </c>
      <c r="D180" s="2">
        <v>6.84</v>
      </c>
      <c r="E180" s="2">
        <v>14</v>
      </c>
      <c r="F180" s="2">
        <v>4.9000000000000004</v>
      </c>
      <c r="G180" s="2">
        <v>0.2</v>
      </c>
      <c r="H180" s="8">
        <v>6.39</v>
      </c>
      <c r="I180" s="2">
        <v>-0.51800000000000002</v>
      </c>
      <c r="J180" s="2">
        <v>47.743000000000002</v>
      </c>
      <c r="K180" s="3">
        <v>2.9003999999999999E-5</v>
      </c>
      <c r="L180" s="2">
        <v>6.2374999999999998</v>
      </c>
      <c r="M180" s="3">
        <v>5.7739000000000002E-3</v>
      </c>
      <c r="N180" s="3">
        <v>4.2815999999999998E-6</v>
      </c>
      <c r="O180" s="3">
        <v>2.7523999999999999E-3</v>
      </c>
    </row>
    <row r="181" spans="1:15" ht="15.75">
      <c r="A181" s="2">
        <v>72.3</v>
      </c>
      <c r="B181" s="2">
        <v>1.5</v>
      </c>
      <c r="C181" s="2">
        <v>18</v>
      </c>
      <c r="D181" s="2">
        <v>6.84</v>
      </c>
      <c r="E181" s="2">
        <v>14</v>
      </c>
      <c r="F181" s="2">
        <v>5.32</v>
      </c>
      <c r="G181" s="2">
        <v>0.2</v>
      </c>
      <c r="H181" s="2">
        <v>6.42</v>
      </c>
      <c r="I181" s="2">
        <v>-0.52100000000000002</v>
      </c>
      <c r="J181" s="2">
        <v>49.377000000000002</v>
      </c>
      <c r="K181" s="3">
        <v>4.2692999999999999E-5</v>
      </c>
      <c r="L181" s="2">
        <v>6.1875999999999998</v>
      </c>
      <c r="M181" s="3">
        <v>5.7539000000000002E-3</v>
      </c>
      <c r="N181" s="3">
        <v>2.3499000000000002E-6</v>
      </c>
      <c r="O181" s="3">
        <v>2.7577000000000001E-3</v>
      </c>
    </row>
    <row r="182" spans="1:15" ht="15.75">
      <c r="A182" s="2">
        <v>74.099999999999994</v>
      </c>
      <c r="B182" s="8">
        <v>1.5</v>
      </c>
      <c r="C182" s="8">
        <v>18</v>
      </c>
      <c r="D182" s="8">
        <v>6.3</v>
      </c>
      <c r="E182" s="8">
        <v>16</v>
      </c>
      <c r="F182" s="8">
        <v>5.6</v>
      </c>
      <c r="G182" s="8">
        <v>0.2</v>
      </c>
      <c r="H182" s="2">
        <v>5.13</v>
      </c>
      <c r="I182" s="2">
        <v>-0.502</v>
      </c>
      <c r="J182" s="2">
        <v>56.545999999999999</v>
      </c>
      <c r="K182" s="3">
        <v>5.7749000000000004E-6</v>
      </c>
      <c r="L182" s="2">
        <v>6.8815</v>
      </c>
      <c r="M182" s="3">
        <v>7.2240000000000004E-3</v>
      </c>
      <c r="N182" s="3">
        <v>9.2210000000000003E-6</v>
      </c>
      <c r="O182" s="3">
        <v>3.3103E-3</v>
      </c>
    </row>
    <row r="183" spans="1:15" ht="15.75">
      <c r="A183" s="2">
        <v>74.099999999999994</v>
      </c>
      <c r="B183" s="2">
        <v>1.5</v>
      </c>
      <c r="C183" s="2">
        <v>18</v>
      </c>
      <c r="D183" s="2">
        <v>6.3</v>
      </c>
      <c r="E183" s="2">
        <v>16</v>
      </c>
      <c r="F183" s="2">
        <v>6.08</v>
      </c>
      <c r="G183" s="2">
        <v>0.2</v>
      </c>
      <c r="H183" s="2">
        <v>5.15</v>
      </c>
      <c r="I183" s="2">
        <v>-0.505</v>
      </c>
      <c r="J183" s="2">
        <v>60.497</v>
      </c>
      <c r="K183" s="3">
        <v>3.2814999999999998E-6</v>
      </c>
      <c r="L183" s="2">
        <v>6.9164000000000003</v>
      </c>
      <c r="M183" s="3">
        <v>7.2093000000000001E-3</v>
      </c>
      <c r="N183" s="3">
        <v>8.9381E-6</v>
      </c>
      <c r="O183" s="3">
        <v>3.3189999999999999E-3</v>
      </c>
    </row>
    <row r="184" spans="1:15" ht="15.75">
      <c r="A184" s="2">
        <v>74.099999999999994</v>
      </c>
      <c r="B184" s="2">
        <v>1.5</v>
      </c>
      <c r="C184" s="2">
        <v>18</v>
      </c>
      <c r="D184" s="2">
        <v>6.84</v>
      </c>
      <c r="E184" s="2">
        <v>16</v>
      </c>
      <c r="F184" s="2">
        <v>5.6</v>
      </c>
      <c r="G184" s="2">
        <v>0.2</v>
      </c>
      <c r="H184" s="2">
        <v>5.0599999999999996</v>
      </c>
      <c r="I184" s="2">
        <v>-0.497</v>
      </c>
      <c r="J184" s="2">
        <v>57.180999999999997</v>
      </c>
      <c r="K184" s="3">
        <v>6.8943999999999996E-6</v>
      </c>
      <c r="L184" s="2">
        <v>6.9817</v>
      </c>
      <c r="M184" s="3">
        <v>7.3239999999999998E-3</v>
      </c>
      <c r="N184" s="3">
        <v>6.2505999999999999E-6</v>
      </c>
      <c r="O184" s="3">
        <v>3.3210000000000002E-3</v>
      </c>
    </row>
    <row r="185" spans="1:15" ht="15.75">
      <c r="A185" s="2">
        <v>74.099999999999994</v>
      </c>
      <c r="B185" s="2">
        <v>1.5</v>
      </c>
      <c r="C185" s="2">
        <v>18</v>
      </c>
      <c r="D185" s="2">
        <v>6.84</v>
      </c>
      <c r="E185" s="2">
        <v>16</v>
      </c>
      <c r="F185" s="2">
        <v>6.08</v>
      </c>
      <c r="G185" s="2">
        <v>0.2</v>
      </c>
      <c r="H185" s="2">
        <v>5.09</v>
      </c>
      <c r="I185" s="2">
        <v>-0.5</v>
      </c>
      <c r="J185" s="2">
        <v>59.551000000000002</v>
      </c>
      <c r="K185" s="3">
        <v>8.3446999999999999E-6</v>
      </c>
      <c r="L185" s="2">
        <v>6.9214000000000002</v>
      </c>
      <c r="M185" s="3">
        <v>7.3017999999999998E-3</v>
      </c>
      <c r="N185" s="3">
        <v>9.9562999999999999E-6</v>
      </c>
      <c r="O185" s="3">
        <v>3.3259000000000001E-3</v>
      </c>
    </row>
    <row r="186" spans="1:15" ht="15.75">
      <c r="A186" s="2">
        <v>75.5</v>
      </c>
      <c r="B186" s="8">
        <v>1.5</v>
      </c>
      <c r="C186" s="8">
        <v>18</v>
      </c>
      <c r="D186" s="8">
        <v>6.3</v>
      </c>
      <c r="E186" s="8">
        <v>18</v>
      </c>
      <c r="F186" s="8">
        <v>6.3</v>
      </c>
      <c r="G186" s="8">
        <v>0.2</v>
      </c>
      <c r="H186" s="2">
        <v>4.1500000000000004</v>
      </c>
      <c r="I186" s="2">
        <v>-0.47899999999999998</v>
      </c>
      <c r="J186" s="2">
        <v>65.822999999999993</v>
      </c>
      <c r="K186" s="3">
        <v>8.695E-7</v>
      </c>
      <c r="L186" s="2">
        <v>7.6204000000000001</v>
      </c>
      <c r="M186" s="3">
        <v>8.9601999999999998E-3</v>
      </c>
      <c r="N186" s="3">
        <v>5.3620999999999999E-6</v>
      </c>
      <c r="O186" s="3">
        <v>3.9137E-3</v>
      </c>
    </row>
    <row r="187" spans="1:15" ht="15.75">
      <c r="A187" s="2">
        <v>75.5</v>
      </c>
      <c r="B187" s="2">
        <v>1.5</v>
      </c>
      <c r="C187" s="2">
        <v>18</v>
      </c>
      <c r="D187" s="2">
        <v>6.3</v>
      </c>
      <c r="E187" s="2">
        <v>18</v>
      </c>
      <c r="F187" s="2">
        <v>6.84</v>
      </c>
      <c r="G187" s="2">
        <v>0.2</v>
      </c>
      <c r="H187" s="2">
        <v>4.17</v>
      </c>
      <c r="I187" s="2">
        <v>-0.48199999999999998</v>
      </c>
      <c r="J187" s="2">
        <v>64.912000000000006</v>
      </c>
      <c r="K187" s="3">
        <v>1.0914E-6</v>
      </c>
      <c r="L187" s="2">
        <v>7.7328000000000001</v>
      </c>
      <c r="M187" s="3">
        <v>8.9496999999999997E-3</v>
      </c>
      <c r="N187" s="3">
        <v>1.0854E-6</v>
      </c>
      <c r="O187" s="3">
        <v>3.9243999999999998E-3</v>
      </c>
    </row>
    <row r="188" spans="1:15" ht="15.75">
      <c r="A188" s="2">
        <v>75.5</v>
      </c>
      <c r="B188" s="2">
        <v>1.5</v>
      </c>
      <c r="C188" s="2">
        <v>18</v>
      </c>
      <c r="D188" s="2">
        <v>6.84</v>
      </c>
      <c r="E188" s="2">
        <v>18</v>
      </c>
      <c r="F188" s="2">
        <v>6.3</v>
      </c>
      <c r="G188" s="2">
        <v>0.2</v>
      </c>
      <c r="H188" s="2">
        <v>4.09</v>
      </c>
      <c r="I188" s="2">
        <v>-0.47199999999999998</v>
      </c>
      <c r="J188" s="2">
        <v>67.305999999999997</v>
      </c>
      <c r="K188" s="3">
        <v>5.7149999999999995E-7</v>
      </c>
      <c r="L188" s="2">
        <v>7.6746999999999996</v>
      </c>
      <c r="M188" s="3">
        <v>9.0907000000000002E-3</v>
      </c>
      <c r="N188" s="3">
        <v>1.5795E-5</v>
      </c>
      <c r="O188" s="3">
        <v>3.9379000000000003E-3</v>
      </c>
    </row>
    <row r="189" spans="1:15" ht="15.75">
      <c r="A189" s="2">
        <v>75.5</v>
      </c>
      <c r="B189" s="2">
        <v>1.5</v>
      </c>
      <c r="C189" s="2">
        <v>18</v>
      </c>
      <c r="D189" s="2">
        <v>6.84</v>
      </c>
      <c r="E189" s="2">
        <v>18</v>
      </c>
      <c r="F189" s="2">
        <v>6.84</v>
      </c>
      <c r="G189" s="2">
        <v>0.2</v>
      </c>
      <c r="H189" s="2">
        <v>4.1100000000000003</v>
      </c>
      <c r="I189" s="2">
        <v>-0.47599999999999998</v>
      </c>
      <c r="J189" s="2">
        <v>67.801000000000002</v>
      </c>
      <c r="K189" s="3">
        <v>4.6409999999999998E-7</v>
      </c>
      <c r="L189" s="2">
        <v>7.7504999999999997</v>
      </c>
      <c r="M189" s="3">
        <v>9.0703999999999993E-3</v>
      </c>
      <c r="N189" s="3">
        <v>5.7597000000000001E-6</v>
      </c>
      <c r="O189" s="3">
        <v>3.9475999999999999E-3</v>
      </c>
    </row>
    <row r="190" spans="1:15" ht="15.75">
      <c r="A190" s="2">
        <v>76.7</v>
      </c>
      <c r="B190" s="8">
        <v>1.5</v>
      </c>
      <c r="C190" s="8">
        <v>18</v>
      </c>
      <c r="D190" s="8">
        <v>6.3</v>
      </c>
      <c r="E190" s="8">
        <v>20</v>
      </c>
      <c r="F190" s="8">
        <v>7</v>
      </c>
      <c r="G190" s="8">
        <v>0.2</v>
      </c>
      <c r="H190" s="2">
        <v>3.41</v>
      </c>
      <c r="I190" s="2">
        <v>-0.45400000000000001</v>
      </c>
      <c r="J190" s="2">
        <v>75.066000000000003</v>
      </c>
      <c r="K190" s="3">
        <v>1.7786999999999999E-7</v>
      </c>
      <c r="L190" s="2">
        <v>8.3495000000000008</v>
      </c>
      <c r="M190" s="3">
        <v>1.0933E-2</v>
      </c>
      <c r="N190" s="3">
        <v>1.8819999999999999E-5</v>
      </c>
      <c r="O190" s="3">
        <v>4.5729999999999998E-3</v>
      </c>
    </row>
    <row r="191" spans="1:15" ht="15.75">
      <c r="A191" s="2">
        <v>76.7</v>
      </c>
      <c r="B191" s="8">
        <v>1.5</v>
      </c>
      <c r="C191" s="5">
        <v>18</v>
      </c>
      <c r="D191" s="5">
        <v>6.3</v>
      </c>
      <c r="E191" s="5">
        <v>20</v>
      </c>
      <c r="F191" s="5">
        <v>7.6</v>
      </c>
      <c r="G191" s="8">
        <v>0.2</v>
      </c>
      <c r="H191" s="2">
        <v>3.43</v>
      </c>
      <c r="I191" s="2">
        <v>-0.45800000000000002</v>
      </c>
      <c r="J191" s="2">
        <v>80.72</v>
      </c>
      <c r="K191" s="3">
        <v>3.1997999999999998E-7</v>
      </c>
      <c r="L191" s="2">
        <v>8.1487999999999996</v>
      </c>
      <c r="M191" s="3">
        <v>1.0916E-2</v>
      </c>
      <c r="N191" s="3">
        <v>2.7798999999999999E-5</v>
      </c>
      <c r="O191" s="3">
        <v>4.5766000000000001E-3</v>
      </c>
    </row>
    <row r="192" spans="1:15" ht="15.75">
      <c r="A192" s="2">
        <v>76.7</v>
      </c>
      <c r="B192" s="8">
        <v>1.5</v>
      </c>
      <c r="C192" s="5">
        <v>18</v>
      </c>
      <c r="D192" s="5">
        <v>6.84</v>
      </c>
      <c r="E192" s="5">
        <v>20</v>
      </c>
      <c r="F192" s="5">
        <v>7</v>
      </c>
      <c r="G192" s="8">
        <v>0.2</v>
      </c>
      <c r="H192" s="2">
        <v>3.36</v>
      </c>
      <c r="I192" s="2">
        <v>-0.44700000000000001</v>
      </c>
      <c r="J192" s="2">
        <v>86.444999999999993</v>
      </c>
      <c r="K192" s="3">
        <v>9.9050000000000004E-8</v>
      </c>
      <c r="L192" s="2">
        <v>8.2814999999999994</v>
      </c>
      <c r="M192" s="3">
        <v>1.1088000000000001E-2</v>
      </c>
      <c r="N192" s="3">
        <v>1.0789E-5</v>
      </c>
      <c r="O192" s="3">
        <v>4.5980999999999999E-3</v>
      </c>
    </row>
    <row r="193" spans="1:15" ht="15.75">
      <c r="A193" s="2">
        <v>76.7</v>
      </c>
      <c r="B193" s="8">
        <v>1.5</v>
      </c>
      <c r="C193" s="5">
        <v>18</v>
      </c>
      <c r="D193" s="5">
        <v>6.84</v>
      </c>
      <c r="E193" s="5">
        <v>20</v>
      </c>
      <c r="F193" s="5">
        <v>7.6</v>
      </c>
      <c r="G193" s="8">
        <v>0.2</v>
      </c>
      <c r="H193" s="2">
        <v>3.38</v>
      </c>
      <c r="I193" s="2">
        <v>-0.45100000000000001</v>
      </c>
      <c r="J193" s="2">
        <v>75.495000000000005</v>
      </c>
      <c r="K193" s="3">
        <v>2.9881000000000001E-7</v>
      </c>
      <c r="L193" s="2">
        <v>8.2546999999999997</v>
      </c>
      <c r="M193" s="3">
        <v>1.1065E-2</v>
      </c>
      <c r="N193" s="3">
        <v>4.5137999999999999E-6</v>
      </c>
      <c r="O193" s="3">
        <v>4.6024999999999998E-3</v>
      </c>
    </row>
    <row r="194" spans="1:15" ht="15.75">
      <c r="A194" s="8">
        <v>64.099999999999994</v>
      </c>
      <c r="B194" s="8">
        <v>2</v>
      </c>
      <c r="C194" s="8">
        <v>18</v>
      </c>
      <c r="D194" s="8">
        <v>6.3</v>
      </c>
      <c r="E194" s="8">
        <v>14</v>
      </c>
      <c r="F194" s="8">
        <v>4.9000000000000004</v>
      </c>
      <c r="G194" s="8">
        <v>0.2</v>
      </c>
      <c r="H194" s="2">
        <v>13.1</v>
      </c>
      <c r="I194" s="2">
        <v>-0.432</v>
      </c>
      <c r="J194" s="2">
        <v>31.484000000000002</v>
      </c>
      <c r="K194" s="3">
        <v>2.6214000000000001E-4</v>
      </c>
      <c r="L194" s="2">
        <v>4.0015000000000001</v>
      </c>
      <c r="M194" s="3">
        <v>2.8016999999999999E-3</v>
      </c>
      <c r="N194" s="3">
        <v>5.7031999999999999E-6</v>
      </c>
      <c r="O194" s="3">
        <v>1.3768999999999999E-3</v>
      </c>
    </row>
    <row r="195" spans="1:15" ht="15.75">
      <c r="A195" s="2">
        <v>64.099999999999994</v>
      </c>
      <c r="B195" s="2">
        <v>2</v>
      </c>
      <c r="C195" s="2">
        <v>18</v>
      </c>
      <c r="D195" s="2">
        <v>6.3</v>
      </c>
      <c r="E195" s="2">
        <v>14</v>
      </c>
      <c r="F195" s="2">
        <v>5.32</v>
      </c>
      <c r="G195" s="2">
        <v>0.2</v>
      </c>
      <c r="H195" s="2">
        <v>13.15</v>
      </c>
      <c r="I195" s="2">
        <v>-0.435</v>
      </c>
      <c r="J195" s="2">
        <v>32.65</v>
      </c>
      <c r="K195" s="3">
        <v>4.9198000000000004E-4</v>
      </c>
      <c r="L195" s="2">
        <v>4.0336999999999996</v>
      </c>
      <c r="M195" s="3">
        <v>2.7939000000000002E-3</v>
      </c>
      <c r="N195" s="3">
        <v>9.7887E-6</v>
      </c>
      <c r="O195" s="3">
        <v>1.3826999999999999E-3</v>
      </c>
    </row>
    <row r="196" spans="1:15" ht="15.75">
      <c r="A196" s="2">
        <v>64.099999999999994</v>
      </c>
      <c r="B196" s="2">
        <v>2</v>
      </c>
      <c r="C196" s="2">
        <v>18</v>
      </c>
      <c r="D196" s="2">
        <v>6.84</v>
      </c>
      <c r="E196" s="2">
        <v>14</v>
      </c>
      <c r="F196" s="2">
        <v>4.9000000000000004</v>
      </c>
      <c r="G196" s="2">
        <v>0.2</v>
      </c>
      <c r="H196" s="2">
        <v>12.94</v>
      </c>
      <c r="I196" s="2">
        <v>-0.43</v>
      </c>
      <c r="J196" s="2">
        <v>32.484000000000002</v>
      </c>
      <c r="K196" s="3">
        <v>3.3367E-4</v>
      </c>
      <c r="L196" s="2">
        <v>4.0392999999999999</v>
      </c>
      <c r="M196" s="3">
        <v>2.836E-3</v>
      </c>
      <c r="N196" s="3">
        <v>1.0521E-7</v>
      </c>
      <c r="O196" s="3">
        <v>1.3794E-3</v>
      </c>
    </row>
    <row r="197" spans="1:15" ht="15.75">
      <c r="A197" s="2">
        <v>64.099999999999994</v>
      </c>
      <c r="B197" s="2">
        <v>2</v>
      </c>
      <c r="C197" s="2">
        <v>18</v>
      </c>
      <c r="D197" s="2">
        <v>6.84</v>
      </c>
      <c r="E197" s="2">
        <v>14</v>
      </c>
      <c r="F197" s="2">
        <v>5.32</v>
      </c>
      <c r="G197" s="2">
        <v>0.2</v>
      </c>
      <c r="H197" s="2">
        <v>13</v>
      </c>
      <c r="I197" s="2">
        <v>-0.433</v>
      </c>
      <c r="J197" s="2">
        <v>32.356000000000002</v>
      </c>
      <c r="K197" s="3">
        <v>1.9049E-4</v>
      </c>
      <c r="L197" s="2">
        <v>4.0189000000000004</v>
      </c>
      <c r="M197" s="3">
        <v>2.8257999999999998E-3</v>
      </c>
      <c r="N197" s="3">
        <v>3.7185000000000001E-6</v>
      </c>
      <c r="O197" s="3">
        <v>1.3783000000000001E-3</v>
      </c>
    </row>
    <row r="198" spans="1:15" ht="15.75">
      <c r="A198" s="2">
        <v>66.400000000000006</v>
      </c>
      <c r="B198" s="8">
        <v>2</v>
      </c>
      <c r="C198" s="8">
        <v>18</v>
      </c>
      <c r="D198" s="8">
        <v>6.3</v>
      </c>
      <c r="E198" s="8">
        <v>16</v>
      </c>
      <c r="F198" s="8">
        <v>5.6</v>
      </c>
      <c r="G198" s="8">
        <v>0.2</v>
      </c>
      <c r="H198" s="2">
        <v>10.5</v>
      </c>
      <c r="I198" s="2">
        <v>-0.42599999999999999</v>
      </c>
      <c r="J198" s="2">
        <v>38.097999999999999</v>
      </c>
      <c r="K198" s="3">
        <v>4.5883000000000001E-5</v>
      </c>
      <c r="L198" s="2">
        <v>4.4808000000000003</v>
      </c>
      <c r="M198" s="3">
        <v>3.5098E-3</v>
      </c>
      <c r="N198" s="3">
        <v>1.7715999999999999E-6</v>
      </c>
      <c r="O198" s="3">
        <v>1.6412E-3</v>
      </c>
    </row>
    <row r="199" spans="1:15" ht="15.75">
      <c r="A199" s="2">
        <v>66.400000000000006</v>
      </c>
      <c r="B199" s="2">
        <v>2</v>
      </c>
      <c r="C199" s="2">
        <v>18</v>
      </c>
      <c r="D199" s="2">
        <v>6.3</v>
      </c>
      <c r="E199" s="2">
        <v>16</v>
      </c>
      <c r="F199" s="2">
        <v>6.08</v>
      </c>
      <c r="G199" s="2">
        <v>0.2</v>
      </c>
      <c r="H199" s="2">
        <v>10.54</v>
      </c>
      <c r="I199" s="2">
        <v>-0.42799999999999999</v>
      </c>
      <c r="J199" s="2">
        <v>37.109000000000002</v>
      </c>
      <c r="K199" s="3">
        <v>8.4661999999999997E-5</v>
      </c>
      <c r="L199" s="2">
        <v>4.4668999999999999</v>
      </c>
      <c r="M199" s="3">
        <v>3.5014999999999998E-3</v>
      </c>
      <c r="N199" s="3">
        <v>1.1776E-6</v>
      </c>
      <c r="O199" s="3">
        <v>1.6425999999999999E-3</v>
      </c>
    </row>
    <row r="200" spans="1:15" ht="15.75">
      <c r="A200" s="2">
        <v>66.400000000000006</v>
      </c>
      <c r="B200" s="2">
        <v>2</v>
      </c>
      <c r="C200" s="2">
        <v>18</v>
      </c>
      <c r="D200" s="2">
        <v>6.84</v>
      </c>
      <c r="E200" s="2">
        <v>16</v>
      </c>
      <c r="F200" s="2">
        <v>5.6</v>
      </c>
      <c r="G200" s="2">
        <v>0.2</v>
      </c>
      <c r="H200" s="2">
        <v>10.36</v>
      </c>
      <c r="I200" s="2">
        <v>-0.42199999999999999</v>
      </c>
      <c r="J200" s="2">
        <v>39.020000000000003</v>
      </c>
      <c r="K200" s="3">
        <v>3.3314E-5</v>
      </c>
      <c r="L200" s="2">
        <v>4.4627999999999997</v>
      </c>
      <c r="M200" s="3">
        <v>3.5572999999999998E-3</v>
      </c>
      <c r="N200" s="3">
        <v>3.8356000000000002E-6</v>
      </c>
      <c r="O200" s="3">
        <v>1.6456000000000001E-3</v>
      </c>
    </row>
    <row r="201" spans="1:15" ht="15.75">
      <c r="A201" s="2">
        <v>66.400000000000006</v>
      </c>
      <c r="B201" s="2">
        <v>2</v>
      </c>
      <c r="C201" s="2">
        <v>18</v>
      </c>
      <c r="D201" s="2">
        <v>6.84</v>
      </c>
      <c r="E201" s="2">
        <v>16</v>
      </c>
      <c r="F201" s="2">
        <v>6.08</v>
      </c>
      <c r="G201" s="2">
        <v>0.2</v>
      </c>
      <c r="H201" s="2">
        <v>10.41</v>
      </c>
      <c r="I201" s="2">
        <v>-0.42499999999999999</v>
      </c>
      <c r="J201" s="2">
        <v>38.014000000000003</v>
      </c>
      <c r="K201" s="3">
        <v>1.3891000000000001E-4</v>
      </c>
      <c r="L201" s="2">
        <v>4.5396000000000001</v>
      </c>
      <c r="M201" s="3">
        <v>3.5460000000000001E-3</v>
      </c>
      <c r="N201" s="3">
        <v>2.5469000000000001E-7</v>
      </c>
      <c r="O201" s="3">
        <v>1.6475000000000001E-3</v>
      </c>
    </row>
    <row r="202" spans="1:15" ht="15.75">
      <c r="A202" s="2">
        <v>68.2</v>
      </c>
      <c r="B202" s="8">
        <v>2</v>
      </c>
      <c r="C202" s="8">
        <v>18</v>
      </c>
      <c r="D202" s="8">
        <v>6.3</v>
      </c>
      <c r="E202" s="8">
        <v>18</v>
      </c>
      <c r="F202" s="8">
        <v>6.3</v>
      </c>
      <c r="G202" s="8">
        <v>0.2</v>
      </c>
      <c r="H202" s="2">
        <v>8.58</v>
      </c>
      <c r="I202" s="2">
        <v>-0.41299999999999998</v>
      </c>
      <c r="J202" s="2">
        <v>45.194000000000003</v>
      </c>
      <c r="K202" s="3">
        <v>4.7206000000000002E-6</v>
      </c>
      <c r="L202" s="2">
        <v>4.9016000000000002</v>
      </c>
      <c r="M202" s="3">
        <v>4.3138999999999999E-3</v>
      </c>
      <c r="N202" s="3">
        <v>4.0934999999999999E-6</v>
      </c>
      <c r="O202" s="3">
        <v>1.9211E-3</v>
      </c>
    </row>
    <row r="203" spans="1:15" ht="15.75">
      <c r="A203" s="2">
        <v>68.2</v>
      </c>
      <c r="B203" s="2">
        <v>2</v>
      </c>
      <c r="C203" s="2">
        <v>18</v>
      </c>
      <c r="D203" s="2">
        <v>6.3</v>
      </c>
      <c r="E203" s="2">
        <v>18</v>
      </c>
      <c r="F203" s="2">
        <v>6.84</v>
      </c>
      <c r="G203" s="2">
        <v>0.2</v>
      </c>
      <c r="H203" s="2">
        <v>8.61</v>
      </c>
      <c r="I203" s="2">
        <v>-0.41599999999999998</v>
      </c>
      <c r="J203" s="2">
        <v>43.210999999999999</v>
      </c>
      <c r="K203" s="3">
        <v>1.3754000000000001E-5</v>
      </c>
      <c r="L203" s="2">
        <v>4.8541999999999996</v>
      </c>
      <c r="M203" s="3">
        <v>4.3039999999999997E-3</v>
      </c>
      <c r="N203" s="3">
        <v>3.3797999999999998E-6</v>
      </c>
      <c r="O203" s="3">
        <v>1.9262999999999999E-3</v>
      </c>
    </row>
    <row r="204" spans="1:15" ht="15.75">
      <c r="A204" s="2">
        <v>68.2</v>
      </c>
      <c r="B204" s="2">
        <v>2</v>
      </c>
      <c r="C204" s="2">
        <v>18</v>
      </c>
      <c r="D204" s="2">
        <v>6.84</v>
      </c>
      <c r="E204" s="2">
        <v>18</v>
      </c>
      <c r="F204" s="2">
        <v>6.3</v>
      </c>
      <c r="G204" s="2">
        <v>0.2</v>
      </c>
      <c r="H204" s="2">
        <v>8.4600000000000009</v>
      </c>
      <c r="I204" s="2">
        <v>-0.40799999999999997</v>
      </c>
      <c r="J204" s="2">
        <v>38.201000000000001</v>
      </c>
      <c r="K204" s="3">
        <v>6.4663000000000002E-6</v>
      </c>
      <c r="L204" s="2">
        <v>4.8361000000000001</v>
      </c>
      <c r="M204" s="3">
        <v>4.3727000000000002E-3</v>
      </c>
      <c r="N204" s="3">
        <v>3.1319E-6</v>
      </c>
      <c r="O204" s="3">
        <v>1.9319999999999999E-3</v>
      </c>
    </row>
    <row r="205" spans="1:15" ht="15.75">
      <c r="A205" s="2">
        <v>68.2</v>
      </c>
      <c r="B205" s="2">
        <v>2</v>
      </c>
      <c r="C205" s="2">
        <v>18</v>
      </c>
      <c r="D205" s="2">
        <v>6.84</v>
      </c>
      <c r="E205" s="2">
        <v>18</v>
      </c>
      <c r="F205" s="2">
        <v>6.84</v>
      </c>
      <c r="G205" s="2">
        <v>0.2</v>
      </c>
      <c r="H205" s="2">
        <v>8.5</v>
      </c>
      <c r="I205" s="2">
        <v>-0.41099999999999998</v>
      </c>
      <c r="J205" s="2">
        <v>43.506999999999998</v>
      </c>
      <c r="K205" s="3">
        <v>1.3713999999999999E-5</v>
      </c>
      <c r="L205" s="2">
        <v>4.9069000000000003</v>
      </c>
      <c r="M205" s="3">
        <v>4.3610999999999997E-3</v>
      </c>
      <c r="N205" s="3">
        <v>1.2135000000000001E-7</v>
      </c>
      <c r="O205" s="3">
        <v>1.9327000000000001E-3</v>
      </c>
    </row>
    <row r="206" spans="1:15" ht="15.75">
      <c r="A206" s="2">
        <v>69.599999999999994</v>
      </c>
      <c r="B206" s="8">
        <v>2</v>
      </c>
      <c r="C206" s="8">
        <v>18</v>
      </c>
      <c r="D206" s="8">
        <v>6.3</v>
      </c>
      <c r="E206" s="8">
        <v>20</v>
      </c>
      <c r="F206" s="8">
        <v>7</v>
      </c>
      <c r="G206" s="8">
        <v>0.2</v>
      </c>
      <c r="H206" s="2">
        <v>7.11</v>
      </c>
      <c r="I206" s="2">
        <v>-0.39700000000000002</v>
      </c>
      <c r="J206" s="2">
        <v>49.064999999999998</v>
      </c>
      <c r="K206" s="3">
        <v>8.7303999999999999E-7</v>
      </c>
      <c r="L206" s="2">
        <v>5.3673999999999999</v>
      </c>
      <c r="M206" s="3">
        <v>5.2157000000000002E-3</v>
      </c>
      <c r="N206" s="3">
        <v>1.0485E-5</v>
      </c>
      <c r="O206" s="3">
        <v>2.2290000000000001E-3</v>
      </c>
    </row>
    <row r="207" spans="1:15" ht="15.75">
      <c r="A207" s="2">
        <v>69.599999999999994</v>
      </c>
      <c r="B207" s="8">
        <v>2</v>
      </c>
      <c r="C207" s="8">
        <v>18</v>
      </c>
      <c r="D207" s="8">
        <v>6.3</v>
      </c>
      <c r="E207" s="8">
        <v>20</v>
      </c>
      <c r="F207" s="8">
        <v>7.6</v>
      </c>
      <c r="G207" s="8">
        <v>0.2</v>
      </c>
      <c r="H207" s="2">
        <v>7.15</v>
      </c>
      <c r="I207" s="2">
        <v>-0.4</v>
      </c>
      <c r="J207" s="2">
        <v>49.57</v>
      </c>
      <c r="K207" s="3">
        <v>1.8659E-6</v>
      </c>
      <c r="L207" s="2">
        <v>5.2742000000000004</v>
      </c>
      <c r="M207" s="3">
        <v>5.2047999999999999E-3</v>
      </c>
      <c r="N207" s="3">
        <v>5.1100000000000002E-6</v>
      </c>
      <c r="O207" s="3">
        <v>2.2325000000000001E-3</v>
      </c>
    </row>
    <row r="208" spans="1:15" ht="15.75">
      <c r="A208" s="2">
        <v>69.599999999999994</v>
      </c>
      <c r="B208" s="8">
        <v>2</v>
      </c>
      <c r="C208" s="8">
        <v>18</v>
      </c>
      <c r="D208" s="8">
        <v>6.84</v>
      </c>
      <c r="E208" s="8">
        <v>20</v>
      </c>
      <c r="F208" s="8">
        <v>7</v>
      </c>
      <c r="G208" s="8">
        <v>0.2</v>
      </c>
      <c r="H208" s="2">
        <v>7.01</v>
      </c>
      <c r="I208" s="2">
        <v>-0.39100000000000001</v>
      </c>
      <c r="J208" s="2">
        <v>49.847999999999999</v>
      </c>
      <c r="K208" s="3">
        <v>2.4708000000000001E-6</v>
      </c>
      <c r="L208" s="2">
        <v>5.3136999999999999</v>
      </c>
      <c r="M208" s="3">
        <v>5.2871999999999997E-3</v>
      </c>
      <c r="N208" s="3">
        <v>1.0103E-5</v>
      </c>
      <c r="O208" s="3">
        <v>2.2428999999999999E-3</v>
      </c>
    </row>
    <row r="209" spans="1:15" ht="15.75">
      <c r="A209" s="2">
        <v>69.599999999999994</v>
      </c>
      <c r="B209" s="8">
        <v>2</v>
      </c>
      <c r="C209" s="8">
        <v>18</v>
      </c>
      <c r="D209" s="8">
        <v>6.84</v>
      </c>
      <c r="E209" s="13">
        <v>20</v>
      </c>
      <c r="F209" s="13">
        <v>7.6</v>
      </c>
      <c r="G209" s="8">
        <v>0.2</v>
      </c>
      <c r="H209" s="2">
        <v>7.05</v>
      </c>
      <c r="I209" s="2">
        <v>-0.39500000000000002</v>
      </c>
      <c r="J209" s="2">
        <v>43.033000000000001</v>
      </c>
      <c r="K209" s="3">
        <v>4.2103000000000002E-6</v>
      </c>
      <c r="L209" s="2">
        <v>5.2088000000000001</v>
      </c>
      <c r="M209" s="3">
        <v>5.2719999999999998E-3</v>
      </c>
      <c r="N209" s="3">
        <v>4.3502000000000003E-6</v>
      </c>
      <c r="O209" s="3">
        <v>2.2420000000000001E-3</v>
      </c>
    </row>
    <row r="210" spans="1:15" ht="15.75">
      <c r="A210" s="8">
        <v>56.3</v>
      </c>
      <c r="B210" s="8">
        <v>2.5</v>
      </c>
      <c r="C210" s="8">
        <v>18</v>
      </c>
      <c r="D210" s="8">
        <v>6.3</v>
      </c>
      <c r="E210" s="8">
        <v>14</v>
      </c>
      <c r="F210" s="8">
        <v>4.9000000000000004</v>
      </c>
      <c r="G210" s="8">
        <v>0.2</v>
      </c>
      <c r="H210" s="2">
        <v>21.68</v>
      </c>
      <c r="I210" s="2">
        <v>-0.33200000000000002</v>
      </c>
      <c r="J210" s="2">
        <v>22.363</v>
      </c>
      <c r="K210" s="3">
        <v>9.4136999999999997E-4</v>
      </c>
      <c r="L210" s="2">
        <v>2.9624000000000001</v>
      </c>
      <c r="M210" s="3">
        <v>1.6819000000000001E-3</v>
      </c>
      <c r="N210" s="3">
        <v>7.2184999999999996E-6</v>
      </c>
      <c r="O210" s="3">
        <v>8.4517000000000001E-4</v>
      </c>
    </row>
    <row r="211" spans="1:15" ht="15.75">
      <c r="A211" s="2">
        <v>56.3</v>
      </c>
      <c r="B211" s="2">
        <v>2.5</v>
      </c>
      <c r="C211" s="2">
        <v>18</v>
      </c>
      <c r="D211" s="2">
        <v>6.3</v>
      </c>
      <c r="E211" s="2">
        <v>14</v>
      </c>
      <c r="F211" s="2">
        <v>5.32</v>
      </c>
      <c r="G211" s="2">
        <v>0.2</v>
      </c>
      <c r="H211" s="2">
        <v>21.76</v>
      </c>
      <c r="I211" s="2">
        <v>-0.33400000000000002</v>
      </c>
      <c r="J211" s="2">
        <v>22.187999999999999</v>
      </c>
      <c r="K211" s="3">
        <v>1.2875E-3</v>
      </c>
      <c r="L211" s="2">
        <v>2.9437000000000002</v>
      </c>
      <c r="M211" s="3">
        <v>1.6772E-3</v>
      </c>
      <c r="N211" s="3">
        <v>3.5192999999999999E-6</v>
      </c>
      <c r="O211" s="3">
        <v>8.4676E-4</v>
      </c>
    </row>
    <row r="212" spans="1:15" ht="15.75">
      <c r="A212" s="2">
        <v>56.3</v>
      </c>
      <c r="B212" s="2">
        <v>2.5</v>
      </c>
      <c r="C212" s="2">
        <v>18</v>
      </c>
      <c r="D212" s="2">
        <v>6.84</v>
      </c>
      <c r="E212" s="2">
        <v>14</v>
      </c>
      <c r="F212" s="2">
        <v>4.9000000000000004</v>
      </c>
      <c r="G212" s="2">
        <v>0.2</v>
      </c>
      <c r="H212" s="2">
        <v>21.42</v>
      </c>
      <c r="I212" s="2">
        <v>-0.33100000000000002</v>
      </c>
      <c r="J212" s="2">
        <v>21.533000000000001</v>
      </c>
      <c r="K212" s="3">
        <v>1.2514E-3</v>
      </c>
      <c r="L212" s="2">
        <v>2.9188999999999998</v>
      </c>
      <c r="M212" s="3">
        <v>1.7022999999999999E-3</v>
      </c>
      <c r="N212" s="3">
        <v>3.929E-6</v>
      </c>
      <c r="O212" s="3">
        <v>8.4385000000000005E-4</v>
      </c>
    </row>
    <row r="213" spans="1:15" ht="15.75">
      <c r="A213" s="2">
        <v>56.3</v>
      </c>
      <c r="B213" s="2">
        <v>2.5</v>
      </c>
      <c r="C213" s="2">
        <v>18</v>
      </c>
      <c r="D213" s="2">
        <v>6.84</v>
      </c>
      <c r="E213" s="2">
        <v>14</v>
      </c>
      <c r="F213" s="2">
        <v>5.32</v>
      </c>
      <c r="G213" s="2">
        <v>0.2</v>
      </c>
      <c r="H213" s="2">
        <v>21.51</v>
      </c>
      <c r="I213" s="2">
        <v>-0.33400000000000002</v>
      </c>
      <c r="J213" s="2">
        <v>21.902999999999999</v>
      </c>
      <c r="K213" s="3">
        <v>1.2878E-3</v>
      </c>
      <c r="L213" s="2">
        <v>2.9538000000000002</v>
      </c>
      <c r="M213" s="3">
        <v>1.6969999999999999E-3</v>
      </c>
      <c r="N213" s="3">
        <v>7.5040000000000005E-7</v>
      </c>
      <c r="O213" s="3">
        <v>8.4626000000000005E-4</v>
      </c>
    </row>
    <row r="214" spans="1:15" ht="15.75">
      <c r="A214" s="2">
        <v>59</v>
      </c>
      <c r="B214" s="8">
        <v>2.5</v>
      </c>
      <c r="C214" s="8">
        <v>18</v>
      </c>
      <c r="D214" s="8">
        <v>6.3</v>
      </c>
      <c r="E214" s="8">
        <v>16</v>
      </c>
      <c r="F214" s="8">
        <v>5.6</v>
      </c>
      <c r="G214" s="8">
        <v>0.2</v>
      </c>
      <c r="H214" s="2">
        <v>17.559999999999999</v>
      </c>
      <c r="I214" s="2">
        <v>-0.33800000000000002</v>
      </c>
      <c r="J214" s="2">
        <v>24.925999999999998</v>
      </c>
      <c r="K214" s="3">
        <v>2.0243999999999999E-4</v>
      </c>
      <c r="L214" s="2">
        <v>3.2423999999999999</v>
      </c>
      <c r="M214" s="3">
        <v>2.0844000000000001E-3</v>
      </c>
      <c r="N214" s="3">
        <v>1.092E-7</v>
      </c>
      <c r="O214" s="3">
        <v>9.9628999999999994E-4</v>
      </c>
    </row>
    <row r="215" spans="1:15" ht="15.75">
      <c r="A215" s="2">
        <v>59</v>
      </c>
      <c r="B215" s="2">
        <v>2.5</v>
      </c>
      <c r="C215" s="2">
        <v>18</v>
      </c>
      <c r="D215" s="2">
        <v>6.3</v>
      </c>
      <c r="E215" s="2">
        <v>16</v>
      </c>
      <c r="F215" s="2">
        <v>6.08</v>
      </c>
      <c r="G215" s="2">
        <v>0.2</v>
      </c>
      <c r="H215" s="2">
        <v>17.63</v>
      </c>
      <c r="I215" s="2">
        <v>-0.34100000000000003</v>
      </c>
      <c r="J215" s="2">
        <v>26.565000000000001</v>
      </c>
      <c r="K215" s="3">
        <v>8.2085999999999997E-4</v>
      </c>
      <c r="L215" s="2">
        <v>3.2923</v>
      </c>
      <c r="M215" s="3">
        <v>2.0788999999999998E-3</v>
      </c>
      <c r="N215" s="3">
        <v>4.4998999999999999E-6</v>
      </c>
      <c r="O215" s="3">
        <v>9.9883000000000003E-4</v>
      </c>
    </row>
    <row r="216" spans="1:15" ht="15.75">
      <c r="A216" s="2">
        <v>59</v>
      </c>
      <c r="B216" s="2">
        <v>2.5</v>
      </c>
      <c r="C216" s="2">
        <v>18</v>
      </c>
      <c r="D216" s="2">
        <v>6.84</v>
      </c>
      <c r="E216" s="2">
        <v>16</v>
      </c>
      <c r="F216" s="2">
        <v>5.6</v>
      </c>
      <c r="G216" s="2">
        <v>0.2</v>
      </c>
      <c r="H216" s="2">
        <v>17.329999999999998</v>
      </c>
      <c r="I216" s="2">
        <v>-0.33600000000000002</v>
      </c>
      <c r="J216" s="2">
        <v>25.792000000000002</v>
      </c>
      <c r="K216" s="3">
        <v>4.0675999999999999E-4</v>
      </c>
      <c r="L216" s="2">
        <v>3.2275</v>
      </c>
      <c r="M216" s="3">
        <v>2.1121E-3</v>
      </c>
      <c r="N216" s="3">
        <v>1.2991E-6</v>
      </c>
      <c r="O216" s="3">
        <v>1.0007E-3</v>
      </c>
    </row>
    <row r="217" spans="1:15" ht="15.75">
      <c r="A217" s="2">
        <v>59</v>
      </c>
      <c r="B217" s="2">
        <v>2.5</v>
      </c>
      <c r="C217" s="2">
        <v>18</v>
      </c>
      <c r="D217" s="2">
        <v>6.84</v>
      </c>
      <c r="E217" s="2">
        <v>16</v>
      </c>
      <c r="F217" s="2">
        <v>6.08</v>
      </c>
      <c r="G217" s="2">
        <v>0.2</v>
      </c>
      <c r="H217" s="2">
        <v>17.41</v>
      </c>
      <c r="I217" s="2">
        <v>-0.33800000000000002</v>
      </c>
      <c r="J217" s="2">
        <v>24.282</v>
      </c>
      <c r="K217" s="3">
        <v>5.1796000000000003E-4</v>
      </c>
      <c r="L217" s="2">
        <v>3.2313000000000001</v>
      </c>
      <c r="M217" s="3">
        <v>2.1050000000000001E-3</v>
      </c>
      <c r="N217" s="3">
        <v>2.2358999999999999E-8</v>
      </c>
      <c r="O217" s="3">
        <v>1.0009000000000001E-3</v>
      </c>
    </row>
    <row r="218" spans="1:15" ht="15.75">
      <c r="A218" s="2">
        <v>61.2</v>
      </c>
      <c r="B218" s="8">
        <v>2.5</v>
      </c>
      <c r="C218" s="8">
        <v>18</v>
      </c>
      <c r="D218" s="8">
        <v>6.3</v>
      </c>
      <c r="E218" s="8">
        <v>18</v>
      </c>
      <c r="F218" s="8">
        <v>6.3</v>
      </c>
      <c r="G218" s="8">
        <v>0.2</v>
      </c>
      <c r="H218" s="2">
        <v>14.48</v>
      </c>
      <c r="I218" s="2">
        <v>-0.33600000000000002</v>
      </c>
      <c r="J218" s="2">
        <v>26.811</v>
      </c>
      <c r="K218" s="3">
        <v>6.1626999999999998E-5</v>
      </c>
      <c r="L218" s="2">
        <v>3.4823</v>
      </c>
      <c r="M218" s="3">
        <v>2.5366E-3</v>
      </c>
      <c r="N218" s="3">
        <v>3.4508000000000001E-6</v>
      </c>
      <c r="O218" s="3">
        <v>1.1604E-3</v>
      </c>
    </row>
    <row r="219" spans="1:15" ht="15.75">
      <c r="A219" s="2">
        <v>61.2</v>
      </c>
      <c r="B219" s="2">
        <v>2.5</v>
      </c>
      <c r="C219" s="2">
        <v>18</v>
      </c>
      <c r="D219" s="2">
        <v>6.3</v>
      </c>
      <c r="E219" s="2">
        <v>18</v>
      </c>
      <c r="F219" s="2">
        <v>6.84</v>
      </c>
      <c r="G219" s="2">
        <v>0.2</v>
      </c>
      <c r="H219" s="2">
        <v>14.54</v>
      </c>
      <c r="I219" s="2">
        <v>-0.33900000000000002</v>
      </c>
      <c r="J219" s="2">
        <v>29.667999999999999</v>
      </c>
      <c r="K219" s="3">
        <v>1.1453E-4</v>
      </c>
      <c r="L219" s="2">
        <v>3.5503</v>
      </c>
      <c r="M219" s="3">
        <v>2.5303000000000001E-3</v>
      </c>
      <c r="N219" s="3">
        <v>3.2889999999999999E-7</v>
      </c>
      <c r="O219" s="3">
        <v>1.16E-3</v>
      </c>
    </row>
    <row r="220" spans="1:15" ht="15.75">
      <c r="A220" s="2">
        <v>61.2</v>
      </c>
      <c r="B220" s="2">
        <v>2.5</v>
      </c>
      <c r="C220" s="2">
        <v>18</v>
      </c>
      <c r="D220" s="2">
        <v>6.84</v>
      </c>
      <c r="E220" s="2">
        <v>18</v>
      </c>
      <c r="F220" s="2">
        <v>6.3</v>
      </c>
      <c r="G220" s="2">
        <v>0.2</v>
      </c>
      <c r="H220" s="2">
        <v>14.29</v>
      </c>
      <c r="I220" s="2">
        <v>-0.33300000000000002</v>
      </c>
      <c r="J220" s="2">
        <v>28.588999999999999</v>
      </c>
      <c r="K220" s="3">
        <v>1.2527E-4</v>
      </c>
      <c r="L220" s="2">
        <v>3.5123000000000002</v>
      </c>
      <c r="M220" s="3">
        <v>2.5704E-3</v>
      </c>
      <c r="N220" s="3">
        <v>2.5788000000000002E-6</v>
      </c>
      <c r="O220" s="3">
        <v>1.1642E-3</v>
      </c>
    </row>
    <row r="221" spans="1:15" ht="15.75">
      <c r="A221" s="2">
        <v>61.2</v>
      </c>
      <c r="B221" s="2">
        <v>2.5</v>
      </c>
      <c r="C221" s="2">
        <v>18</v>
      </c>
      <c r="D221" s="2">
        <v>6.84</v>
      </c>
      <c r="E221" s="2">
        <v>18</v>
      </c>
      <c r="F221" s="2">
        <v>6.84</v>
      </c>
      <c r="G221" s="2">
        <v>0.2</v>
      </c>
      <c r="H221" s="2">
        <v>14.36</v>
      </c>
      <c r="I221" s="2">
        <v>-0.33600000000000002</v>
      </c>
      <c r="J221" s="2">
        <v>27.475999999999999</v>
      </c>
      <c r="K221" s="3">
        <v>1.5710999999999999E-4</v>
      </c>
      <c r="L221" s="2">
        <v>3.5326</v>
      </c>
      <c r="M221" s="3">
        <v>2.5628999999999999E-3</v>
      </c>
      <c r="N221" s="3">
        <v>1.2316E-6</v>
      </c>
      <c r="O221" s="3">
        <v>1.1649E-3</v>
      </c>
    </row>
    <row r="222" spans="1:15" ht="15.75">
      <c r="A222" s="2">
        <v>62.9</v>
      </c>
      <c r="B222" s="8">
        <v>2.5</v>
      </c>
      <c r="C222" s="8">
        <v>18</v>
      </c>
      <c r="D222" s="8">
        <v>6.3</v>
      </c>
      <c r="E222" s="8">
        <v>20</v>
      </c>
      <c r="F222" s="8">
        <v>7</v>
      </c>
      <c r="G222" s="8">
        <v>0.2</v>
      </c>
      <c r="H222" s="2">
        <v>12.12</v>
      </c>
      <c r="I222" s="2">
        <v>-0.33</v>
      </c>
      <c r="J222" s="2">
        <v>32.786000000000001</v>
      </c>
      <c r="K222" s="3">
        <v>2.9954000000000002E-5</v>
      </c>
      <c r="L222" s="2">
        <v>3.7591999999999999</v>
      </c>
      <c r="M222" s="3">
        <v>3.0412999999999998E-3</v>
      </c>
      <c r="N222" s="3">
        <v>2.5136E-7</v>
      </c>
      <c r="O222" s="3">
        <v>1.3304E-3</v>
      </c>
    </row>
    <row r="223" spans="1:15" ht="15.75">
      <c r="A223" s="2">
        <v>62.9</v>
      </c>
      <c r="B223" s="8">
        <v>2.5</v>
      </c>
      <c r="C223" s="8">
        <v>18</v>
      </c>
      <c r="D223" s="8">
        <v>6.3</v>
      </c>
      <c r="E223" s="8">
        <v>20</v>
      </c>
      <c r="F223" s="8">
        <v>7.6</v>
      </c>
      <c r="G223" s="8">
        <v>0.2</v>
      </c>
      <c r="H223" s="2">
        <v>12.17</v>
      </c>
      <c r="I223" s="2">
        <v>-0.33300000000000002</v>
      </c>
      <c r="J223" s="2">
        <v>30.814</v>
      </c>
      <c r="K223" s="3">
        <v>7.8770999999999995E-5</v>
      </c>
      <c r="L223" s="2">
        <v>3.7877000000000001</v>
      </c>
      <c r="M223" s="3">
        <v>3.0333999999999999E-3</v>
      </c>
      <c r="N223" s="3">
        <v>2.6370000000000001E-7</v>
      </c>
      <c r="O223" s="3">
        <v>1.3339999999999999E-3</v>
      </c>
    </row>
    <row r="224" spans="1:15" ht="15.75">
      <c r="A224" s="2">
        <v>62.9</v>
      </c>
      <c r="B224" s="8">
        <v>2.5</v>
      </c>
      <c r="C224" s="8">
        <v>18</v>
      </c>
      <c r="D224" s="8">
        <v>6.84</v>
      </c>
      <c r="E224" s="8">
        <v>20</v>
      </c>
      <c r="F224" s="8">
        <v>7</v>
      </c>
      <c r="G224" s="8">
        <v>0.2</v>
      </c>
      <c r="H224" s="2">
        <v>11.96</v>
      </c>
      <c r="I224" s="2">
        <v>-0.32500000000000001</v>
      </c>
      <c r="J224" s="2">
        <v>32.348999999999997</v>
      </c>
      <c r="K224" s="3">
        <v>2.09E-5</v>
      </c>
      <c r="L224" s="2">
        <v>3.8546</v>
      </c>
      <c r="M224" s="3">
        <v>3.0802999999999998E-3</v>
      </c>
      <c r="N224" s="3">
        <v>4.0126999999999997E-6</v>
      </c>
      <c r="O224" s="3">
        <v>1.3397000000000001E-3</v>
      </c>
    </row>
    <row r="225" spans="1:16" ht="15.75">
      <c r="A225" s="2">
        <v>62.9</v>
      </c>
      <c r="B225" s="8">
        <v>2.5</v>
      </c>
      <c r="C225" s="8">
        <v>18</v>
      </c>
      <c r="D225" s="8">
        <v>6.84</v>
      </c>
      <c r="E225" s="13">
        <v>20</v>
      </c>
      <c r="F225" s="13">
        <v>7.6</v>
      </c>
      <c r="G225" s="8">
        <v>0.2</v>
      </c>
      <c r="H225" s="2">
        <v>12.02</v>
      </c>
      <c r="I225" s="2">
        <v>-0.32900000000000001</v>
      </c>
      <c r="J225" s="2">
        <v>29.26</v>
      </c>
      <c r="K225" s="3">
        <v>5.4741999999999999E-5</v>
      </c>
      <c r="L225" s="2">
        <v>3.8209</v>
      </c>
      <c r="M225" s="3">
        <v>3.0715E-3</v>
      </c>
      <c r="N225" s="3">
        <v>2.8538999999999999E-6</v>
      </c>
      <c r="O225" s="3">
        <v>1.3416000000000001E-3</v>
      </c>
    </row>
    <row r="226" spans="1:16" ht="15.75">
      <c r="A226" s="8">
        <v>49.1</v>
      </c>
      <c r="B226" s="8">
        <v>3</v>
      </c>
      <c r="C226" s="8">
        <v>18</v>
      </c>
      <c r="D226" s="8">
        <v>6.3</v>
      </c>
      <c r="E226" s="8">
        <v>14</v>
      </c>
      <c r="F226" s="8">
        <v>4.9000000000000004</v>
      </c>
      <c r="G226" s="8">
        <v>0.2</v>
      </c>
      <c r="H226" s="2">
        <v>31.77</v>
      </c>
      <c r="I226" s="2">
        <v>-0.22900000000000001</v>
      </c>
      <c r="J226" s="2">
        <v>17.343</v>
      </c>
      <c r="K226" s="3">
        <v>2.075E-3</v>
      </c>
      <c r="L226" s="2">
        <v>2.3323999999999998</v>
      </c>
      <c r="M226" s="3">
        <v>1.1410000000000001E-3</v>
      </c>
      <c r="N226" s="3">
        <v>9.3689000000000002E-7</v>
      </c>
      <c r="O226" s="3">
        <v>5.9040000000000004E-4</v>
      </c>
    </row>
    <row r="227" spans="1:16" ht="15.75">
      <c r="A227" s="2">
        <v>49.1</v>
      </c>
      <c r="B227" s="2">
        <v>3</v>
      </c>
      <c r="C227" s="2">
        <v>18</v>
      </c>
      <c r="D227" s="2">
        <v>6.3</v>
      </c>
      <c r="E227" s="2">
        <v>14</v>
      </c>
      <c r="F227" s="2">
        <v>5.32</v>
      </c>
      <c r="G227" s="2">
        <v>0.2</v>
      </c>
      <c r="H227" s="2">
        <v>31.86</v>
      </c>
      <c r="I227" s="2">
        <v>-0.23100000000000001</v>
      </c>
      <c r="J227" s="2">
        <v>16.327000000000002</v>
      </c>
      <c r="K227" s="3">
        <v>2.1229999999999999E-3</v>
      </c>
      <c r="L227" s="2">
        <v>2.3050999999999999</v>
      </c>
      <c r="M227" s="3">
        <v>1.1383999999999999E-3</v>
      </c>
      <c r="N227" s="3">
        <v>1.4473999999999999E-6</v>
      </c>
      <c r="O227" s="3">
        <v>5.9281000000000004E-4</v>
      </c>
    </row>
    <row r="228" spans="1:16" ht="15.75">
      <c r="A228" s="2">
        <v>49.1</v>
      </c>
      <c r="B228" s="2">
        <v>3</v>
      </c>
      <c r="C228" s="2">
        <v>18</v>
      </c>
      <c r="D228" s="2">
        <v>6.84</v>
      </c>
      <c r="E228" s="2">
        <v>14</v>
      </c>
      <c r="F228" s="2">
        <v>4.9000000000000004</v>
      </c>
      <c r="G228" s="2">
        <v>0.2</v>
      </c>
      <c r="H228" s="2">
        <v>31.39</v>
      </c>
      <c r="I228" s="2">
        <v>-0.22900000000000001</v>
      </c>
      <c r="J228" s="2">
        <v>16.244</v>
      </c>
      <c r="K228" s="3">
        <v>2.1687999999999998E-3</v>
      </c>
      <c r="L228" s="2">
        <v>2.3178999999999998</v>
      </c>
      <c r="M228" s="3">
        <v>1.1552000000000001E-3</v>
      </c>
      <c r="N228" s="3">
        <v>8.3745999999999998E-7</v>
      </c>
      <c r="O228" s="3">
        <v>5.8949000000000002E-4</v>
      </c>
    </row>
    <row r="229" spans="1:16" ht="15.75">
      <c r="A229" s="2">
        <v>49.1</v>
      </c>
      <c r="B229" s="2">
        <v>3</v>
      </c>
      <c r="C229" s="2">
        <v>18</v>
      </c>
      <c r="D229" s="2">
        <v>6.84</v>
      </c>
      <c r="E229" s="2">
        <v>14</v>
      </c>
      <c r="F229" s="2">
        <v>5.32</v>
      </c>
      <c r="G229" s="2">
        <v>0.2</v>
      </c>
      <c r="H229" s="2">
        <v>31.5</v>
      </c>
      <c r="I229" s="2">
        <v>-0.23100000000000001</v>
      </c>
      <c r="J229" s="2">
        <v>16.152999999999999</v>
      </c>
      <c r="K229" s="3">
        <v>4.7150000000000002E-4</v>
      </c>
      <c r="L229" s="2">
        <v>2.3169</v>
      </c>
      <c r="M229" s="3">
        <v>1.1519E-3</v>
      </c>
      <c r="N229" s="3">
        <v>3.8419E-7</v>
      </c>
      <c r="O229" s="3">
        <v>5.9077000000000001E-4</v>
      </c>
      <c r="P229" s="4"/>
    </row>
    <row r="230" spans="1:16" ht="15.75">
      <c r="A230" s="2">
        <v>52.2</v>
      </c>
      <c r="B230" s="8">
        <v>3</v>
      </c>
      <c r="C230" s="8">
        <v>18</v>
      </c>
      <c r="D230" s="8">
        <v>6.3</v>
      </c>
      <c r="E230" s="8">
        <v>16</v>
      </c>
      <c r="F230" s="8">
        <v>5.6</v>
      </c>
      <c r="G230" s="8">
        <v>0.2</v>
      </c>
      <c r="H230" s="2">
        <v>26.01</v>
      </c>
      <c r="I230" s="2">
        <v>-0.247</v>
      </c>
      <c r="J230" s="2">
        <v>16.68</v>
      </c>
      <c r="K230" s="3">
        <v>4.1786999999999998E-4</v>
      </c>
      <c r="L230" s="2">
        <v>2.5510000000000002</v>
      </c>
      <c r="M230" s="3">
        <v>1.3985E-3</v>
      </c>
      <c r="N230" s="3">
        <v>1.0976E-5</v>
      </c>
      <c r="O230" s="3">
        <v>6.9207000000000003E-4</v>
      </c>
    </row>
    <row r="231" spans="1:16" ht="15.75">
      <c r="A231" s="2">
        <v>52.2</v>
      </c>
      <c r="B231" s="2">
        <v>3</v>
      </c>
      <c r="C231" s="2">
        <v>18</v>
      </c>
      <c r="D231" s="2">
        <v>6.3</v>
      </c>
      <c r="E231" s="2">
        <v>16</v>
      </c>
      <c r="F231" s="2">
        <v>6.08</v>
      </c>
      <c r="G231" s="2">
        <v>0.2</v>
      </c>
      <c r="H231" s="2">
        <v>26.09</v>
      </c>
      <c r="I231" s="2">
        <v>-0.249</v>
      </c>
      <c r="J231" s="2">
        <v>19.077999999999999</v>
      </c>
      <c r="K231" s="3">
        <v>1.2806E-3</v>
      </c>
      <c r="L231" s="2">
        <v>2.5522</v>
      </c>
      <c r="M231" s="3">
        <v>1.395E-3</v>
      </c>
      <c r="N231" s="3">
        <v>1.1225E-5</v>
      </c>
      <c r="O231" s="3">
        <v>6.9311999999999998E-4</v>
      </c>
    </row>
    <row r="232" spans="1:16" ht="15.75">
      <c r="A232" s="2">
        <v>52.2</v>
      </c>
      <c r="B232" s="2">
        <v>3</v>
      </c>
      <c r="C232" s="2">
        <v>18</v>
      </c>
      <c r="D232" s="2">
        <v>6.84</v>
      </c>
      <c r="E232" s="2">
        <v>16</v>
      </c>
      <c r="F232" s="2">
        <v>5.6</v>
      </c>
      <c r="G232" s="2">
        <v>0.2</v>
      </c>
      <c r="H232" s="2">
        <v>25.69</v>
      </c>
      <c r="I232" s="2">
        <v>-0.245</v>
      </c>
      <c r="J232" s="2">
        <v>18.991</v>
      </c>
      <c r="K232" s="3">
        <v>9.5733999999999999E-4</v>
      </c>
      <c r="L232" s="2">
        <v>2.5101</v>
      </c>
      <c r="M232" s="3">
        <v>1.4165E-3</v>
      </c>
      <c r="N232" s="3">
        <v>3.3021000000000001E-6</v>
      </c>
      <c r="O232" s="3">
        <v>6.9090999999999998E-4</v>
      </c>
    </row>
    <row r="233" spans="1:16" ht="15.75">
      <c r="A233" s="2">
        <v>52.2</v>
      </c>
      <c r="B233" s="2">
        <v>3</v>
      </c>
      <c r="C233" s="2">
        <v>18</v>
      </c>
      <c r="D233" s="2">
        <v>6.84</v>
      </c>
      <c r="E233" s="2">
        <v>16</v>
      </c>
      <c r="F233" s="2">
        <v>6.08</v>
      </c>
      <c r="G233" s="2">
        <v>0.2</v>
      </c>
      <c r="H233" s="2">
        <v>25.78</v>
      </c>
      <c r="I233" s="2">
        <v>-0.248</v>
      </c>
      <c r="J233" s="2">
        <v>19.193999999999999</v>
      </c>
      <c r="K233" s="3">
        <v>2.4052000000000001E-3</v>
      </c>
      <c r="L233" s="2">
        <v>2.5525000000000002</v>
      </c>
      <c r="M233" s="3">
        <v>1.4126E-3</v>
      </c>
      <c r="N233" s="3">
        <v>4.8801000000000001E-6</v>
      </c>
      <c r="O233" s="3">
        <v>6.9375000000000003E-4</v>
      </c>
    </row>
    <row r="234" spans="1:16" ht="15.75">
      <c r="A234" s="2">
        <v>54.6</v>
      </c>
      <c r="B234" s="8">
        <v>3</v>
      </c>
      <c r="C234" s="8">
        <v>18</v>
      </c>
      <c r="D234" s="8">
        <v>6.3</v>
      </c>
      <c r="E234" s="8">
        <v>18</v>
      </c>
      <c r="F234" s="8">
        <v>6.3</v>
      </c>
      <c r="G234" s="8">
        <v>0.2</v>
      </c>
      <c r="H234" s="2">
        <v>21.64</v>
      </c>
      <c r="I234" s="2">
        <v>-0.25600000000000001</v>
      </c>
      <c r="J234" s="2">
        <v>19.725000000000001</v>
      </c>
      <c r="K234" s="3">
        <v>2.6218999999999998E-4</v>
      </c>
      <c r="L234" s="2">
        <v>2.7601</v>
      </c>
      <c r="M234" s="3">
        <v>1.6865000000000001E-3</v>
      </c>
      <c r="N234" s="3">
        <v>4.0055999999999998E-8</v>
      </c>
      <c r="O234" s="3">
        <v>7.9736E-4</v>
      </c>
    </row>
    <row r="235" spans="1:16" ht="15.75">
      <c r="A235" s="2">
        <v>54.6</v>
      </c>
      <c r="B235" s="2">
        <v>3</v>
      </c>
      <c r="C235" s="2">
        <v>18</v>
      </c>
      <c r="D235" s="2">
        <v>6.3</v>
      </c>
      <c r="E235" s="2">
        <v>18</v>
      </c>
      <c r="F235" s="2">
        <v>6.84</v>
      </c>
      <c r="G235" s="2">
        <v>0.2</v>
      </c>
      <c r="H235" s="2">
        <v>21.72</v>
      </c>
      <c r="I235" s="2">
        <v>-0.25900000000000001</v>
      </c>
      <c r="J235" s="2">
        <v>20.847000000000001</v>
      </c>
      <c r="K235" s="3">
        <v>4.1836E-4</v>
      </c>
      <c r="L235" s="2">
        <v>2.7789999999999999</v>
      </c>
      <c r="M235" s="3">
        <v>1.6819000000000001E-3</v>
      </c>
      <c r="N235" s="3">
        <v>1.4694000000000001E-6</v>
      </c>
      <c r="O235" s="3">
        <v>7.9936999999999999E-4</v>
      </c>
    </row>
    <row r="236" spans="1:16" ht="15.75">
      <c r="A236" s="2">
        <v>54.6</v>
      </c>
      <c r="B236" s="2">
        <v>3</v>
      </c>
      <c r="C236" s="2">
        <v>18</v>
      </c>
      <c r="D236" s="2">
        <v>6.84</v>
      </c>
      <c r="E236" s="2">
        <v>18</v>
      </c>
      <c r="F236" s="2">
        <v>6.3</v>
      </c>
      <c r="G236" s="2">
        <v>0.2</v>
      </c>
      <c r="H236" s="2">
        <v>21.36</v>
      </c>
      <c r="I236" s="2">
        <v>-0.253</v>
      </c>
      <c r="J236" s="2">
        <v>20.768000000000001</v>
      </c>
      <c r="K236" s="3">
        <v>2.0929999999999999E-4</v>
      </c>
      <c r="L236" s="2">
        <v>2.7746</v>
      </c>
      <c r="M236" s="3">
        <v>1.7084999999999999E-3</v>
      </c>
      <c r="N236" s="3">
        <v>9.3506000000000001E-7</v>
      </c>
      <c r="O236" s="3">
        <v>7.9969000000000004E-4</v>
      </c>
    </row>
    <row r="237" spans="1:16" ht="15.75">
      <c r="A237" s="2">
        <v>54.6</v>
      </c>
      <c r="B237" s="2">
        <v>3</v>
      </c>
      <c r="C237" s="2">
        <v>18</v>
      </c>
      <c r="D237" s="2">
        <v>6.84</v>
      </c>
      <c r="E237" s="2">
        <v>18</v>
      </c>
      <c r="F237" s="2">
        <v>6.84</v>
      </c>
      <c r="G237" s="2">
        <v>0.2</v>
      </c>
      <c r="H237" s="2">
        <v>21.45</v>
      </c>
      <c r="I237" s="2">
        <v>-0.25600000000000001</v>
      </c>
      <c r="J237" s="2">
        <v>19.568999999999999</v>
      </c>
      <c r="K237" s="3">
        <v>4.0311999999999998E-4</v>
      </c>
      <c r="L237" s="2">
        <v>2.7744</v>
      </c>
      <c r="M237" s="3">
        <v>1.7033E-3</v>
      </c>
      <c r="N237" s="3">
        <v>1.2121000000000001E-7</v>
      </c>
      <c r="O237" s="3">
        <v>7.9929000000000003E-4</v>
      </c>
    </row>
    <row r="238" spans="1:16" ht="15.75">
      <c r="A238" s="2">
        <v>56.5</v>
      </c>
      <c r="B238" s="8">
        <v>3</v>
      </c>
      <c r="C238" s="8">
        <v>18</v>
      </c>
      <c r="D238" s="8">
        <v>6.3</v>
      </c>
      <c r="E238" s="8">
        <v>20</v>
      </c>
      <c r="F238" s="8">
        <v>7</v>
      </c>
      <c r="G238" s="8">
        <v>0.2</v>
      </c>
      <c r="H238" s="2">
        <v>18.260000000000002</v>
      </c>
      <c r="I238" s="2">
        <v>-0.25900000000000001</v>
      </c>
      <c r="J238" s="2">
        <v>24.568000000000001</v>
      </c>
      <c r="K238" s="3">
        <v>1.8476000000000001E-4</v>
      </c>
      <c r="L238" s="2">
        <v>2.9531000000000001</v>
      </c>
      <c r="M238" s="3">
        <v>2.0046999999999999E-3</v>
      </c>
      <c r="N238" s="3">
        <v>1.3173000000000001E-6</v>
      </c>
      <c r="O238" s="3">
        <v>9.0910999999999997E-4</v>
      </c>
    </row>
    <row r="239" spans="1:16" ht="15.75">
      <c r="A239" s="2">
        <v>56.5</v>
      </c>
      <c r="B239" s="8">
        <v>3</v>
      </c>
      <c r="C239" s="5">
        <v>18</v>
      </c>
      <c r="D239" s="5">
        <v>6.3</v>
      </c>
      <c r="E239" s="5">
        <v>20</v>
      </c>
      <c r="F239" s="5">
        <v>7.6</v>
      </c>
      <c r="G239" s="8">
        <v>0.2</v>
      </c>
      <c r="H239" s="2">
        <v>18.329999999999998</v>
      </c>
      <c r="I239" s="2">
        <v>-0.26200000000000001</v>
      </c>
      <c r="J239" s="2">
        <v>23.242999999999999</v>
      </c>
      <c r="K239" s="3">
        <v>1.6937000000000001E-4</v>
      </c>
      <c r="L239" s="2">
        <v>2.9449000000000001</v>
      </c>
      <c r="M239" s="3">
        <v>1.9991000000000002E-3</v>
      </c>
      <c r="N239" s="3">
        <v>9.590099999999999E-7</v>
      </c>
      <c r="O239" s="3">
        <v>9.1007000000000002E-4</v>
      </c>
    </row>
    <row r="240" spans="1:16" ht="15.75">
      <c r="A240" s="2">
        <v>56.5</v>
      </c>
      <c r="B240" s="8">
        <v>3</v>
      </c>
      <c r="C240" s="5">
        <v>18</v>
      </c>
      <c r="D240" s="5">
        <v>6.84</v>
      </c>
      <c r="E240" s="5">
        <v>20</v>
      </c>
      <c r="F240" s="5">
        <v>7</v>
      </c>
      <c r="G240" s="8">
        <v>0.2</v>
      </c>
      <c r="H240" s="2">
        <v>18.03</v>
      </c>
      <c r="I240" s="2">
        <v>-0.255</v>
      </c>
      <c r="J240" s="2">
        <v>27.196999999999999</v>
      </c>
      <c r="K240" s="3">
        <v>1.4107E-4</v>
      </c>
      <c r="L240" s="2">
        <v>2.988</v>
      </c>
      <c r="M240" s="3">
        <v>2.0301999999999998E-3</v>
      </c>
      <c r="N240" s="3">
        <v>9.3269999999999998E-7</v>
      </c>
      <c r="O240" s="3">
        <v>9.1301999999999996E-4</v>
      </c>
    </row>
    <row r="241" spans="1:15" ht="15.75">
      <c r="A241" s="2">
        <v>56.5</v>
      </c>
      <c r="B241" s="2">
        <v>3</v>
      </c>
      <c r="C241" s="14">
        <v>18</v>
      </c>
      <c r="D241" s="14">
        <v>6.84</v>
      </c>
      <c r="E241" s="5">
        <v>20</v>
      </c>
      <c r="F241" s="5">
        <v>7.6</v>
      </c>
      <c r="G241" s="2">
        <v>0.2</v>
      </c>
      <c r="H241" s="2">
        <v>18.11</v>
      </c>
      <c r="I241" s="2">
        <v>-0.25900000000000001</v>
      </c>
      <c r="J241" s="2">
        <v>23.765000000000001</v>
      </c>
      <c r="K241" s="3">
        <v>3.0550999999999999E-4</v>
      </c>
      <c r="L241" s="2">
        <v>2.9792000000000001</v>
      </c>
      <c r="M241" s="3">
        <v>2.0240000000000002E-3</v>
      </c>
      <c r="N241" s="3">
        <v>1.7113E-6</v>
      </c>
      <c r="O241" s="3">
        <v>9.1505999999999998E-4</v>
      </c>
    </row>
    <row r="242" spans="1:15" ht="15.75">
      <c r="A242" s="8">
        <v>81.8</v>
      </c>
      <c r="B242" s="8">
        <v>1</v>
      </c>
      <c r="C242" s="8">
        <v>20</v>
      </c>
      <c r="D242" s="8">
        <v>7</v>
      </c>
      <c r="E242" s="8">
        <v>14</v>
      </c>
      <c r="F242" s="8">
        <v>4.9000000000000004</v>
      </c>
      <c r="G242" s="8">
        <v>0.2</v>
      </c>
      <c r="H242" s="2">
        <v>1.96</v>
      </c>
      <c r="I242" s="8">
        <v>-0.61099999999999999</v>
      </c>
      <c r="J242" s="2">
        <v>100.37</v>
      </c>
      <c r="K242" s="3">
        <v>8.9958999999999997E-7</v>
      </c>
      <c r="L242" s="2">
        <v>13.342000000000001</v>
      </c>
      <c r="M242" s="3">
        <v>2.0879000000000002E-2</v>
      </c>
      <c r="N242" s="3">
        <v>9.2568999999999994E-6</v>
      </c>
      <c r="O242" s="3">
        <v>1.047E-2</v>
      </c>
    </row>
    <row r="243" spans="1:15" ht="15.75">
      <c r="A243" s="8">
        <v>81.8</v>
      </c>
      <c r="B243" s="2">
        <v>1</v>
      </c>
      <c r="C243" s="2">
        <v>20</v>
      </c>
      <c r="D243" s="2">
        <v>7</v>
      </c>
      <c r="E243" s="2">
        <v>14</v>
      </c>
      <c r="F243" s="2">
        <v>5.32</v>
      </c>
      <c r="G243" s="2">
        <v>0.2</v>
      </c>
      <c r="H243" s="2">
        <v>1.97</v>
      </c>
      <c r="I243" s="2">
        <v>-0.61199999999999999</v>
      </c>
      <c r="J243" s="2">
        <v>110</v>
      </c>
      <c r="K243" s="3">
        <v>2.5312E-6</v>
      </c>
      <c r="L243" s="2">
        <v>13.368</v>
      </c>
      <c r="M243" s="3">
        <v>2.0819000000000001E-2</v>
      </c>
      <c r="N243" s="3">
        <v>2.2671E-7</v>
      </c>
      <c r="O243" s="3">
        <v>1.0553999999999999E-2</v>
      </c>
    </row>
    <row r="244" spans="1:15" ht="15.75">
      <c r="A244" s="8">
        <v>81.8</v>
      </c>
      <c r="B244" s="2">
        <v>1</v>
      </c>
      <c r="C244" s="2">
        <v>20</v>
      </c>
      <c r="D244" s="2">
        <v>7.6</v>
      </c>
      <c r="E244" s="2">
        <v>14</v>
      </c>
      <c r="F244" s="2">
        <v>4.9000000000000004</v>
      </c>
      <c r="G244" s="2">
        <v>0.2</v>
      </c>
      <c r="H244" s="2">
        <v>1.95</v>
      </c>
      <c r="I244" s="2">
        <v>-0.60799999999999998</v>
      </c>
      <c r="J244" s="2">
        <v>113.49</v>
      </c>
      <c r="K244" s="3">
        <v>2.3159000000000001E-6</v>
      </c>
      <c r="L244" s="2">
        <v>13.238</v>
      </c>
      <c r="M244" s="3">
        <v>2.1068E-2</v>
      </c>
      <c r="N244" s="3">
        <v>1.4924E-5</v>
      </c>
      <c r="O244" s="3">
        <v>1.0416E-2</v>
      </c>
    </row>
    <row r="245" spans="1:15" ht="15.75">
      <c r="A245" s="8">
        <v>81.8</v>
      </c>
      <c r="B245" s="2">
        <v>1</v>
      </c>
      <c r="C245" s="2">
        <v>20</v>
      </c>
      <c r="D245" s="2">
        <v>7.6</v>
      </c>
      <c r="E245" s="2">
        <v>14</v>
      </c>
      <c r="F245" s="2">
        <v>5.32</v>
      </c>
      <c r="G245" s="2">
        <v>0.2</v>
      </c>
      <c r="H245" s="2">
        <v>1.96</v>
      </c>
      <c r="I245" s="2">
        <v>-0.61</v>
      </c>
      <c r="J245" s="2">
        <v>95.103999999999999</v>
      </c>
      <c r="K245" s="3">
        <v>4.0137999999999996E-6</v>
      </c>
      <c r="L245" s="2">
        <v>13.24</v>
      </c>
      <c r="M245" s="3">
        <v>2.0989000000000001E-2</v>
      </c>
      <c r="N245" s="3">
        <v>1.3512999999999999E-5</v>
      </c>
      <c r="O245" s="3">
        <v>1.0390999999999999E-2</v>
      </c>
    </row>
    <row r="246" spans="1:15" ht="15.75">
      <c r="A246" s="2">
        <v>83.1</v>
      </c>
      <c r="B246" s="2">
        <v>1</v>
      </c>
      <c r="C246" s="2">
        <v>20</v>
      </c>
      <c r="D246" s="8">
        <v>7</v>
      </c>
      <c r="E246" s="2">
        <v>16</v>
      </c>
      <c r="F246" s="2">
        <v>5.6</v>
      </c>
      <c r="G246" s="2">
        <v>0.2</v>
      </c>
      <c r="H246" s="2">
        <v>1.55</v>
      </c>
      <c r="I246" s="2">
        <v>-0.58799999999999997</v>
      </c>
      <c r="J246" s="2">
        <v>126.26</v>
      </c>
      <c r="K246" s="3">
        <v>9.8463000000000005E-7</v>
      </c>
      <c r="L246" s="2">
        <v>15.044</v>
      </c>
      <c r="M246" s="3">
        <v>2.6532E-2</v>
      </c>
      <c r="N246" s="3">
        <v>1.7655999999999998E-5</v>
      </c>
      <c r="O246" s="3">
        <v>1.2662E-2</v>
      </c>
    </row>
    <row r="247" spans="1:15" ht="15.75">
      <c r="A247" s="2">
        <v>83.1</v>
      </c>
      <c r="B247" s="2">
        <v>1</v>
      </c>
      <c r="C247" s="2">
        <v>20</v>
      </c>
      <c r="D247" s="2">
        <v>7</v>
      </c>
      <c r="E247" s="2">
        <v>16</v>
      </c>
      <c r="F247" s="2">
        <v>6.08</v>
      </c>
      <c r="G247" s="2">
        <v>0.2</v>
      </c>
      <c r="H247" s="2">
        <v>1.56</v>
      </c>
      <c r="I247" s="2">
        <v>-0.58899999999999997</v>
      </c>
      <c r="J247" s="2">
        <v>138.28</v>
      </c>
      <c r="K247" s="3">
        <v>7.0638E-6</v>
      </c>
      <c r="L247" s="2">
        <v>14.824</v>
      </c>
      <c r="M247" s="3">
        <v>2.6498000000000001E-2</v>
      </c>
      <c r="N247" s="3">
        <v>4.3251000000000003E-5</v>
      </c>
      <c r="O247" s="3">
        <v>1.2637000000000001E-2</v>
      </c>
    </row>
    <row r="248" spans="1:15" ht="15.75">
      <c r="A248" s="2">
        <v>83.1</v>
      </c>
      <c r="B248" s="2">
        <v>1</v>
      </c>
      <c r="C248" s="2">
        <v>20</v>
      </c>
      <c r="D248" s="2">
        <v>7.6</v>
      </c>
      <c r="E248" s="2">
        <v>16</v>
      </c>
      <c r="F248" s="2">
        <v>5.6</v>
      </c>
      <c r="G248" s="2">
        <v>0.2</v>
      </c>
      <c r="H248" s="2">
        <v>1.53</v>
      </c>
      <c r="I248" s="2">
        <v>-0.58199999999999996</v>
      </c>
      <c r="J248" s="2">
        <v>116.67</v>
      </c>
      <c r="K248" s="3">
        <v>8.9504000000000005E-7</v>
      </c>
      <c r="L248" s="2">
        <v>14.99</v>
      </c>
      <c r="M248" s="3">
        <v>2.6891999999999999E-2</v>
      </c>
      <c r="N248" s="3">
        <v>3.3219000000000002E-5</v>
      </c>
      <c r="O248" s="3">
        <v>1.26E-2</v>
      </c>
    </row>
    <row r="249" spans="1:15" ht="15.75">
      <c r="A249" s="2">
        <v>83.1</v>
      </c>
      <c r="B249" s="2">
        <v>1</v>
      </c>
      <c r="C249" s="2">
        <v>20</v>
      </c>
      <c r="D249" s="2">
        <v>7.6</v>
      </c>
      <c r="E249" s="2">
        <v>16</v>
      </c>
      <c r="F249" s="2">
        <v>6.08</v>
      </c>
      <c r="G249" s="2">
        <v>0.2</v>
      </c>
      <c r="H249" s="2">
        <v>1.54</v>
      </c>
      <c r="I249" s="2">
        <v>-0.58399999999999996</v>
      </c>
      <c r="J249" s="2">
        <v>115.25</v>
      </c>
      <c r="K249" s="3">
        <v>5.3860999999999998E-7</v>
      </c>
      <c r="L249" s="2">
        <v>14.872999999999999</v>
      </c>
      <c r="M249" s="3">
        <v>2.6796E-2</v>
      </c>
      <c r="N249" s="3">
        <v>4.0775999999999997E-5</v>
      </c>
      <c r="O249" s="3">
        <v>1.2616E-2</v>
      </c>
    </row>
    <row r="250" spans="1:15" ht="15.75">
      <c r="A250" s="2">
        <v>84.1</v>
      </c>
      <c r="B250" s="2">
        <v>1</v>
      </c>
      <c r="C250" s="2">
        <v>20</v>
      </c>
      <c r="D250" s="8">
        <v>7</v>
      </c>
      <c r="E250" s="2">
        <v>18</v>
      </c>
      <c r="F250" s="2">
        <v>6.3</v>
      </c>
      <c r="G250" s="2">
        <v>0.2</v>
      </c>
      <c r="H250" s="2">
        <v>1.25</v>
      </c>
      <c r="I250" s="2">
        <v>-0.56100000000000005</v>
      </c>
      <c r="J250" s="2">
        <v>156.83000000000001</v>
      </c>
      <c r="K250" s="3">
        <v>6.4246000000000005E-8</v>
      </c>
      <c r="L250" s="2">
        <v>16.535</v>
      </c>
      <c r="M250" s="3">
        <v>3.3050999999999997E-2</v>
      </c>
      <c r="N250" s="3">
        <v>6.0826999999999999E-5</v>
      </c>
      <c r="O250" s="3">
        <v>1.4880000000000001E-2</v>
      </c>
    </row>
    <row r="251" spans="1:15" ht="15.75">
      <c r="A251" s="2">
        <v>84.1</v>
      </c>
      <c r="B251" s="2">
        <v>1</v>
      </c>
      <c r="C251" s="2">
        <v>20</v>
      </c>
      <c r="D251" s="2">
        <v>7</v>
      </c>
      <c r="E251" s="2">
        <v>18</v>
      </c>
      <c r="F251" s="2">
        <v>6.84</v>
      </c>
      <c r="G251" s="2">
        <v>0.2</v>
      </c>
      <c r="H251" s="2">
        <v>1.26</v>
      </c>
      <c r="I251" s="2">
        <v>-0.56299999999999994</v>
      </c>
      <c r="J251" s="2">
        <v>130.43</v>
      </c>
      <c r="K251" s="3">
        <v>3.4023E-8</v>
      </c>
      <c r="L251" s="2">
        <v>16.492000000000001</v>
      </c>
      <c r="M251" s="3">
        <v>3.2988000000000003E-2</v>
      </c>
      <c r="N251" s="3">
        <v>2.9674000000000001E-5</v>
      </c>
      <c r="O251" s="3">
        <v>1.4905E-2</v>
      </c>
    </row>
    <row r="252" spans="1:15" ht="15.75">
      <c r="A252" s="2">
        <v>84.1</v>
      </c>
      <c r="B252" s="2">
        <v>1</v>
      </c>
      <c r="C252" s="2">
        <v>20</v>
      </c>
      <c r="D252" s="2">
        <v>7.6</v>
      </c>
      <c r="E252" s="2">
        <v>18</v>
      </c>
      <c r="F252" s="2">
        <v>6.3</v>
      </c>
      <c r="G252" s="2">
        <v>0.2</v>
      </c>
      <c r="H252" s="2">
        <v>1.23</v>
      </c>
      <c r="I252" s="2">
        <v>-0.55400000000000005</v>
      </c>
      <c r="J252" s="2">
        <v>129.86000000000001</v>
      </c>
      <c r="K252" s="3">
        <v>8.3433000000000003E-8</v>
      </c>
      <c r="L252" s="2">
        <v>16.673999999999999</v>
      </c>
      <c r="M252" s="3">
        <v>3.3508000000000003E-2</v>
      </c>
      <c r="N252" s="3">
        <v>6.0946999999999998E-5</v>
      </c>
      <c r="O252" s="3">
        <v>1.4930000000000001E-2</v>
      </c>
    </row>
    <row r="253" spans="1:15" ht="15.75">
      <c r="A253" s="2">
        <v>84.1</v>
      </c>
      <c r="B253" s="2">
        <v>1</v>
      </c>
      <c r="C253" s="2">
        <v>20</v>
      </c>
      <c r="D253" s="2">
        <v>7.6</v>
      </c>
      <c r="E253" s="2">
        <v>18</v>
      </c>
      <c r="F253" s="2">
        <v>6.84</v>
      </c>
      <c r="G253" s="2">
        <v>0.2</v>
      </c>
      <c r="H253" s="2">
        <v>1.24</v>
      </c>
      <c r="I253" s="2">
        <v>-0.55700000000000005</v>
      </c>
      <c r="J253" s="2">
        <v>155.49</v>
      </c>
      <c r="K253" s="3">
        <v>3.3939000000000002E-7</v>
      </c>
      <c r="L253" s="2">
        <v>16.631</v>
      </c>
      <c r="M253" s="3">
        <v>3.3437000000000001E-2</v>
      </c>
      <c r="N253" s="3">
        <v>7.2050000000000003E-5</v>
      </c>
      <c r="O253" s="3">
        <v>1.4971999999999999E-2</v>
      </c>
    </row>
    <row r="254" spans="1:15" ht="15.75">
      <c r="A254" s="2">
        <v>84.9</v>
      </c>
      <c r="B254" s="2">
        <v>1</v>
      </c>
      <c r="C254" s="2">
        <v>20</v>
      </c>
      <c r="D254" s="8">
        <v>7</v>
      </c>
      <c r="E254" s="2">
        <v>20</v>
      </c>
      <c r="F254" s="2">
        <v>7</v>
      </c>
      <c r="G254" s="2">
        <v>0.2</v>
      </c>
      <c r="H254" s="2">
        <v>1.03</v>
      </c>
      <c r="I254" s="2">
        <v>-0.53300000000000003</v>
      </c>
      <c r="J254" s="2">
        <v>149.46</v>
      </c>
      <c r="K254" s="3">
        <v>2.173E-8</v>
      </c>
      <c r="L254" s="2">
        <v>18.052</v>
      </c>
      <c r="M254" s="3">
        <v>4.0422E-2</v>
      </c>
      <c r="N254" s="3">
        <v>1.3533999999999999E-4</v>
      </c>
      <c r="O254" s="3">
        <v>1.7503000000000001E-2</v>
      </c>
    </row>
    <row r="255" spans="1:15" ht="15.75">
      <c r="A255" s="2">
        <v>84.9</v>
      </c>
      <c r="B255" s="2">
        <v>1</v>
      </c>
      <c r="C255" s="2">
        <v>20</v>
      </c>
      <c r="D255" s="2">
        <v>7</v>
      </c>
      <c r="E255" s="2">
        <v>20</v>
      </c>
      <c r="F255" s="2">
        <v>7.6</v>
      </c>
      <c r="G255" s="2">
        <v>0.2</v>
      </c>
      <c r="H255" s="2">
        <v>1.03</v>
      </c>
      <c r="I255" s="2">
        <v>-0.53500000000000003</v>
      </c>
      <c r="J255" s="2">
        <v>149.16</v>
      </c>
      <c r="K255" s="3">
        <v>5.0177E-8</v>
      </c>
      <c r="L255" s="2">
        <v>17.902999999999999</v>
      </c>
      <c r="M255" s="3">
        <v>4.0402E-2</v>
      </c>
      <c r="N255" s="3">
        <v>4.1050000000000002E-5</v>
      </c>
      <c r="O255" s="3">
        <v>1.7516E-2</v>
      </c>
    </row>
    <row r="256" spans="1:15" ht="15.75">
      <c r="A256" s="2">
        <v>84.9</v>
      </c>
      <c r="B256" s="2">
        <v>1</v>
      </c>
      <c r="C256" s="2">
        <v>20</v>
      </c>
      <c r="D256" s="2">
        <v>7.6</v>
      </c>
      <c r="E256" s="2">
        <v>20</v>
      </c>
      <c r="F256" s="2">
        <v>7</v>
      </c>
      <c r="G256" s="2">
        <v>0.2</v>
      </c>
      <c r="H256" s="2">
        <v>1.01</v>
      </c>
      <c r="I256" s="2">
        <v>-0.52400000000000002</v>
      </c>
      <c r="J256" s="2">
        <v>143.47999999999999</v>
      </c>
      <c r="K256" s="3">
        <v>6.6266999999999994E-8</v>
      </c>
      <c r="L256" s="2">
        <v>17.948</v>
      </c>
      <c r="M256" s="3">
        <v>4.1048000000000001E-2</v>
      </c>
      <c r="N256" s="3">
        <v>1.0631E-4</v>
      </c>
      <c r="O256" s="3">
        <v>1.7607000000000001E-2</v>
      </c>
    </row>
    <row r="257" spans="1:15" ht="15.75">
      <c r="A257" s="2">
        <v>84.9</v>
      </c>
      <c r="B257" s="2">
        <v>1</v>
      </c>
      <c r="C257" s="2">
        <v>20</v>
      </c>
      <c r="D257" s="2">
        <v>7.6</v>
      </c>
      <c r="E257" s="13">
        <v>20</v>
      </c>
      <c r="F257" s="13">
        <v>7.6</v>
      </c>
      <c r="G257" s="2">
        <v>0.2</v>
      </c>
      <c r="H257" s="2">
        <v>1.01</v>
      </c>
      <c r="I257" s="2">
        <v>-0.52800000000000002</v>
      </c>
      <c r="J257" s="2">
        <v>149.38999999999999</v>
      </c>
      <c r="K257" s="3">
        <v>1.7604E-8</v>
      </c>
      <c r="L257" s="2">
        <v>17.949000000000002</v>
      </c>
      <c r="M257" s="3">
        <v>4.0960000000000003E-2</v>
      </c>
      <c r="N257" s="3">
        <v>1.3543999999999999E-4</v>
      </c>
      <c r="O257" s="3">
        <v>1.763E-2</v>
      </c>
    </row>
    <row r="258" spans="1:15" ht="15.75">
      <c r="A258" s="2">
        <v>73.400000000000006</v>
      </c>
      <c r="B258" s="8">
        <v>1.5</v>
      </c>
      <c r="C258" s="8">
        <v>20</v>
      </c>
      <c r="D258" s="8">
        <v>7</v>
      </c>
      <c r="E258" s="8">
        <v>14</v>
      </c>
      <c r="F258" s="8">
        <v>4.9000000000000004</v>
      </c>
      <c r="G258" s="8">
        <v>0.2</v>
      </c>
      <c r="H258" s="2">
        <v>5.89</v>
      </c>
      <c r="I258" s="2">
        <v>-0.55700000000000005</v>
      </c>
      <c r="J258" s="2">
        <v>55.567999999999998</v>
      </c>
      <c r="K258" s="3">
        <v>2.881E-5</v>
      </c>
      <c r="L258" s="2">
        <v>6.6509999999999998</v>
      </c>
      <c r="M258" s="3">
        <v>6.9493999999999997E-3</v>
      </c>
      <c r="N258" s="3">
        <v>1.412E-5</v>
      </c>
      <c r="O258" s="3">
        <v>3.4884999999999998E-3</v>
      </c>
    </row>
    <row r="259" spans="1:15" ht="15.75">
      <c r="A259" s="2">
        <v>73.400000000000006</v>
      </c>
      <c r="B259" s="2">
        <v>1.5</v>
      </c>
      <c r="C259" s="2">
        <v>20</v>
      </c>
      <c r="D259" s="2">
        <v>7</v>
      </c>
      <c r="E259" s="2">
        <v>14</v>
      </c>
      <c r="F259" s="2">
        <v>5.32</v>
      </c>
      <c r="G259" s="2">
        <v>0.2</v>
      </c>
      <c r="H259" s="2">
        <v>5.93</v>
      </c>
      <c r="I259" s="2">
        <v>-0.55900000000000005</v>
      </c>
      <c r="J259" s="2">
        <v>46.180999999999997</v>
      </c>
      <c r="K259" s="3">
        <v>1.8281999999999999E-4</v>
      </c>
      <c r="L259" s="2">
        <v>6.4413999999999998</v>
      </c>
      <c r="M259" s="3">
        <v>6.9043000000000004E-3</v>
      </c>
      <c r="N259" s="3">
        <v>1.7757E-5</v>
      </c>
      <c r="O259" s="3">
        <v>3.4822999999999998E-3</v>
      </c>
    </row>
    <row r="260" spans="1:15" ht="15.75">
      <c r="A260" s="2">
        <v>73.400000000000006</v>
      </c>
      <c r="B260" s="2">
        <v>1.5</v>
      </c>
      <c r="C260" s="2">
        <v>20</v>
      </c>
      <c r="D260" s="2">
        <v>7.6</v>
      </c>
      <c r="E260" s="2">
        <v>14</v>
      </c>
      <c r="F260" s="2">
        <v>4.9000000000000004</v>
      </c>
      <c r="G260" s="2">
        <v>0.2</v>
      </c>
      <c r="H260" s="2">
        <v>5.83</v>
      </c>
      <c r="I260" s="2">
        <v>-0.55500000000000005</v>
      </c>
      <c r="J260" s="2">
        <v>53.345999999999997</v>
      </c>
      <c r="K260" s="3">
        <v>1.7258E-5</v>
      </c>
      <c r="L260" s="2">
        <v>6.7144000000000004</v>
      </c>
      <c r="M260" s="3">
        <v>7.0206000000000001E-3</v>
      </c>
      <c r="N260" s="3">
        <v>4.2448000000000004E-6</v>
      </c>
      <c r="O260" s="3">
        <v>3.4703999999999998E-3</v>
      </c>
    </row>
    <row r="261" spans="1:15" ht="15.75">
      <c r="A261" s="2">
        <v>73.400000000000006</v>
      </c>
      <c r="B261" s="2">
        <v>1.5</v>
      </c>
      <c r="C261" s="2">
        <v>20</v>
      </c>
      <c r="D261" s="2">
        <v>7.6</v>
      </c>
      <c r="E261" s="2">
        <v>14</v>
      </c>
      <c r="F261" s="2">
        <v>5.32</v>
      </c>
      <c r="G261" s="2">
        <v>0.2</v>
      </c>
      <c r="H261" s="2">
        <v>5.86</v>
      </c>
      <c r="I261" s="2">
        <v>-0.55600000000000005</v>
      </c>
      <c r="J261" s="2">
        <v>53.344999999999999</v>
      </c>
      <c r="K261" s="3">
        <v>4.8945E-5</v>
      </c>
      <c r="L261" s="2">
        <v>6.7568000000000001</v>
      </c>
      <c r="M261" s="3">
        <v>6.9922999999999999E-3</v>
      </c>
      <c r="N261" s="3">
        <v>2.0778E-5</v>
      </c>
      <c r="O261" s="3">
        <v>3.4826000000000002E-3</v>
      </c>
    </row>
    <row r="262" spans="1:15" ht="15.75">
      <c r="A262" s="2">
        <v>75.2</v>
      </c>
      <c r="B262" s="2">
        <v>1.5</v>
      </c>
      <c r="C262" s="2">
        <v>20</v>
      </c>
      <c r="D262" s="8">
        <v>7</v>
      </c>
      <c r="E262" s="2">
        <v>16</v>
      </c>
      <c r="F262" s="2">
        <v>5.6</v>
      </c>
      <c r="G262" s="2">
        <v>0.2</v>
      </c>
      <c r="H262" s="2">
        <v>4.6900000000000004</v>
      </c>
      <c r="I262" s="2">
        <v>-0.53900000000000003</v>
      </c>
      <c r="J262" s="2">
        <v>61.354999999999997</v>
      </c>
      <c r="K262" s="3">
        <v>3.8035000000000001E-6</v>
      </c>
      <c r="L262" s="2">
        <v>7.5378999999999996</v>
      </c>
      <c r="M262" s="3">
        <v>8.7679000000000003E-3</v>
      </c>
      <c r="N262" s="3">
        <v>3.9804E-6</v>
      </c>
      <c r="O262" s="3">
        <v>4.1824999999999996E-3</v>
      </c>
    </row>
    <row r="263" spans="1:15" ht="15.75">
      <c r="A263" s="2">
        <v>75.2</v>
      </c>
      <c r="B263" s="2">
        <v>1.5</v>
      </c>
      <c r="C263" s="2">
        <v>20</v>
      </c>
      <c r="D263" s="2">
        <v>7</v>
      </c>
      <c r="E263" s="2">
        <v>16</v>
      </c>
      <c r="F263" s="2">
        <v>6.08</v>
      </c>
      <c r="G263" s="2">
        <v>0.2</v>
      </c>
      <c r="H263" s="2">
        <v>4.71</v>
      </c>
      <c r="I263" s="2">
        <v>-0.54100000000000004</v>
      </c>
      <c r="J263" s="2">
        <v>64.707999999999998</v>
      </c>
      <c r="K263" s="3">
        <v>4.7948999999999996E-6</v>
      </c>
      <c r="L263" s="2">
        <v>7.5412999999999997</v>
      </c>
      <c r="M263" s="3">
        <v>8.7466000000000002E-3</v>
      </c>
      <c r="N263" s="3">
        <v>7.1505999999999998E-6</v>
      </c>
      <c r="O263" s="3">
        <v>4.1993000000000004E-3</v>
      </c>
    </row>
    <row r="264" spans="1:15" ht="15.75">
      <c r="A264" s="2">
        <v>75.2</v>
      </c>
      <c r="B264" s="2">
        <v>1.5</v>
      </c>
      <c r="C264" s="2">
        <v>20</v>
      </c>
      <c r="D264" s="2">
        <v>7.6</v>
      </c>
      <c r="E264" s="2">
        <v>16</v>
      </c>
      <c r="F264" s="2">
        <v>5.6</v>
      </c>
      <c r="G264" s="2">
        <v>0.2</v>
      </c>
      <c r="H264" s="2">
        <v>4.63</v>
      </c>
      <c r="I264" s="2">
        <v>-0.53500000000000003</v>
      </c>
      <c r="J264" s="2">
        <v>64.111000000000004</v>
      </c>
      <c r="K264" s="3">
        <v>4.4046000000000001E-6</v>
      </c>
      <c r="L264" s="2">
        <v>7.6981000000000002</v>
      </c>
      <c r="M264" s="3">
        <v>8.8757000000000003E-3</v>
      </c>
      <c r="N264" s="3">
        <v>8.1566999999999993E-6</v>
      </c>
      <c r="O264" s="3">
        <v>4.1875000000000002E-3</v>
      </c>
    </row>
    <row r="265" spans="1:15" ht="15.75">
      <c r="A265" s="2">
        <v>75.2</v>
      </c>
      <c r="B265" s="2">
        <v>1.5</v>
      </c>
      <c r="C265" s="2">
        <v>20</v>
      </c>
      <c r="D265" s="2">
        <v>7.6</v>
      </c>
      <c r="E265" s="2">
        <v>16</v>
      </c>
      <c r="F265" s="2">
        <v>6.08</v>
      </c>
      <c r="G265" s="2">
        <v>0.2</v>
      </c>
      <c r="H265" s="2">
        <v>4.6500000000000004</v>
      </c>
      <c r="I265" s="2">
        <v>-0.53800000000000003</v>
      </c>
      <c r="J265" s="2">
        <v>62.271999999999998</v>
      </c>
      <c r="K265" s="3">
        <v>1.1703E-5</v>
      </c>
      <c r="L265" s="2">
        <v>7.6307</v>
      </c>
      <c r="M265" s="3">
        <v>8.8467000000000007E-3</v>
      </c>
      <c r="N265" s="3">
        <v>4.4378000000000001E-6</v>
      </c>
      <c r="O265" s="3">
        <v>4.1817E-3</v>
      </c>
    </row>
    <row r="266" spans="1:15" ht="15.75">
      <c r="A266" s="2">
        <v>76.7</v>
      </c>
      <c r="B266" s="2">
        <v>1.5</v>
      </c>
      <c r="C266" s="2">
        <v>20</v>
      </c>
      <c r="D266" s="8">
        <v>7</v>
      </c>
      <c r="E266" s="2">
        <v>18</v>
      </c>
      <c r="F266" s="2">
        <v>6.3</v>
      </c>
      <c r="G266" s="2">
        <v>0.2</v>
      </c>
      <c r="H266" s="2">
        <v>3.81</v>
      </c>
      <c r="I266" s="2">
        <v>-0.51800000000000002</v>
      </c>
      <c r="J266" s="2">
        <v>71.597999999999999</v>
      </c>
      <c r="K266" s="3">
        <v>1.2851E-6</v>
      </c>
      <c r="L266" s="2">
        <v>8.2647999999999993</v>
      </c>
      <c r="M266" s="3">
        <v>1.0838E-2</v>
      </c>
      <c r="N266" s="3">
        <v>1.2174000000000001E-5</v>
      </c>
      <c r="O266" s="3">
        <v>4.9324E-3</v>
      </c>
    </row>
    <row r="267" spans="1:15" ht="15.75">
      <c r="A267" s="2">
        <v>76.7</v>
      </c>
      <c r="B267" s="2">
        <v>1.5</v>
      </c>
      <c r="C267" s="2">
        <v>20</v>
      </c>
      <c r="D267" s="2">
        <v>7</v>
      </c>
      <c r="E267" s="2">
        <v>18</v>
      </c>
      <c r="F267" s="2">
        <v>6.84</v>
      </c>
      <c r="G267" s="2">
        <v>0.2</v>
      </c>
      <c r="H267" s="2">
        <v>3.82</v>
      </c>
      <c r="I267" s="2">
        <v>-0.52100000000000002</v>
      </c>
      <c r="J267" s="2">
        <v>64.430000000000007</v>
      </c>
      <c r="K267" s="3">
        <v>1.7580999999999999E-6</v>
      </c>
      <c r="L267" s="2">
        <v>8.2957999999999998</v>
      </c>
      <c r="M267" s="3">
        <v>1.0817E-2</v>
      </c>
      <c r="N267" s="3">
        <v>6.3393999999999998E-6</v>
      </c>
      <c r="O267" s="3">
        <v>4.9363999999999996E-3</v>
      </c>
    </row>
    <row r="268" spans="1:15" ht="15.75">
      <c r="A268" s="2">
        <v>76.7</v>
      </c>
      <c r="B268" s="2">
        <v>1.5</v>
      </c>
      <c r="C268" s="2">
        <v>20</v>
      </c>
      <c r="D268" s="2">
        <v>7.6</v>
      </c>
      <c r="E268" s="2">
        <v>18</v>
      </c>
      <c r="F268" s="2">
        <v>6.3</v>
      </c>
      <c r="G268" s="2">
        <v>0.2</v>
      </c>
      <c r="H268" s="2">
        <v>3.75</v>
      </c>
      <c r="I268" s="2">
        <v>-0.51300000000000001</v>
      </c>
      <c r="J268" s="2">
        <v>72.766999999999996</v>
      </c>
      <c r="K268" s="3">
        <v>5.9148000000000005E-7</v>
      </c>
      <c r="L268" s="2">
        <v>8.3056999999999999</v>
      </c>
      <c r="M268" s="3">
        <v>1.0985999999999999E-2</v>
      </c>
      <c r="N268" s="3">
        <v>1.4372999999999999E-5</v>
      </c>
      <c r="O268" s="3">
        <v>4.9439000000000002E-3</v>
      </c>
    </row>
    <row r="269" spans="1:15" ht="15.75">
      <c r="A269" s="2">
        <v>76.7</v>
      </c>
      <c r="B269" s="2">
        <v>1.5</v>
      </c>
      <c r="C269" s="2">
        <v>20</v>
      </c>
      <c r="D269" s="2">
        <v>7.6</v>
      </c>
      <c r="E269" s="2">
        <v>18</v>
      </c>
      <c r="F269" s="2">
        <v>6.84</v>
      </c>
      <c r="G269" s="2">
        <v>0.2</v>
      </c>
      <c r="H269" s="2">
        <v>3.77</v>
      </c>
      <c r="I269" s="2">
        <v>-0.51600000000000001</v>
      </c>
      <c r="J269" s="2">
        <v>77.191000000000003</v>
      </c>
      <c r="K269" s="3">
        <v>4.6336E-6</v>
      </c>
      <c r="L269" s="2">
        <v>8.3635000000000002</v>
      </c>
      <c r="M269" s="3">
        <v>1.0959999999999999E-2</v>
      </c>
      <c r="N269" s="3">
        <v>4.4942000000000001E-6</v>
      </c>
      <c r="O269" s="3">
        <v>4.9559000000000001E-3</v>
      </c>
    </row>
    <row r="270" spans="1:15" ht="15.75">
      <c r="A270" s="2">
        <v>77.8</v>
      </c>
      <c r="B270" s="2">
        <v>1.5</v>
      </c>
      <c r="C270" s="2">
        <v>20</v>
      </c>
      <c r="D270" s="8">
        <v>7</v>
      </c>
      <c r="E270" s="2">
        <v>20</v>
      </c>
      <c r="F270" s="2">
        <v>7</v>
      </c>
      <c r="G270" s="2">
        <v>0.2</v>
      </c>
      <c r="H270" s="2">
        <v>3.14</v>
      </c>
      <c r="I270" s="2">
        <v>-0.496</v>
      </c>
      <c r="J270" s="2">
        <v>82.683000000000007</v>
      </c>
      <c r="K270" s="3">
        <v>7.8997000000000003E-8</v>
      </c>
      <c r="L270" s="2">
        <v>9.1738</v>
      </c>
      <c r="M270" s="3">
        <v>1.3174999999999999E-2</v>
      </c>
      <c r="N270" s="3">
        <v>2.3268000000000002E-5</v>
      </c>
      <c r="O270" s="3">
        <v>5.7416000000000003E-3</v>
      </c>
    </row>
    <row r="271" spans="1:15" ht="15.75">
      <c r="A271" s="2">
        <v>77.8</v>
      </c>
      <c r="B271" s="2">
        <v>1.5</v>
      </c>
      <c r="C271" s="2">
        <v>20</v>
      </c>
      <c r="D271" s="2">
        <v>7</v>
      </c>
      <c r="E271" s="2">
        <v>20</v>
      </c>
      <c r="F271" s="2">
        <v>7.6</v>
      </c>
      <c r="G271" s="2">
        <v>0.2</v>
      </c>
      <c r="H271" s="2">
        <v>3.15</v>
      </c>
      <c r="I271" s="2">
        <v>-0.498</v>
      </c>
      <c r="J271" s="2">
        <v>79.831000000000003</v>
      </c>
      <c r="K271" s="3">
        <v>3.6379E-7</v>
      </c>
      <c r="L271" s="2">
        <v>9.0282</v>
      </c>
      <c r="M271" s="3">
        <v>1.3159000000000001E-2</v>
      </c>
      <c r="N271" s="3">
        <v>9.7508000000000007E-7</v>
      </c>
      <c r="O271" s="3">
        <v>5.7387000000000002E-3</v>
      </c>
    </row>
    <row r="272" spans="1:15" ht="15.75">
      <c r="A272" s="2">
        <v>77.8</v>
      </c>
      <c r="B272" s="2">
        <v>1.5</v>
      </c>
      <c r="C272" s="2">
        <v>20</v>
      </c>
      <c r="D272" s="2">
        <v>7.6</v>
      </c>
      <c r="E272" s="2">
        <v>20</v>
      </c>
      <c r="F272" s="2">
        <v>7</v>
      </c>
      <c r="G272" s="2">
        <v>0.2</v>
      </c>
      <c r="H272" s="2">
        <v>3.09</v>
      </c>
      <c r="I272" s="2">
        <v>-0.48799999999999999</v>
      </c>
      <c r="J272" s="2">
        <v>79.501000000000005</v>
      </c>
      <c r="K272" s="3">
        <v>9.6803999999999993E-7</v>
      </c>
      <c r="L272" s="2">
        <v>9.0935000000000006</v>
      </c>
      <c r="M272" s="3">
        <v>1.3369000000000001E-2</v>
      </c>
      <c r="N272" s="3">
        <v>1.7184999999999999E-5</v>
      </c>
      <c r="O272" s="3">
        <v>5.7771000000000003E-3</v>
      </c>
    </row>
    <row r="273" spans="1:15" ht="15.75">
      <c r="A273" s="2">
        <v>77.8</v>
      </c>
      <c r="B273" s="2">
        <v>1.5</v>
      </c>
      <c r="C273" s="2">
        <v>20</v>
      </c>
      <c r="D273" s="2">
        <v>7.6</v>
      </c>
      <c r="E273" s="13">
        <v>20</v>
      </c>
      <c r="F273" s="13">
        <v>7.6</v>
      </c>
      <c r="G273" s="2">
        <v>0.2</v>
      </c>
      <c r="H273" s="2">
        <v>3.11</v>
      </c>
      <c r="I273" s="2">
        <v>-0.49199999999999999</v>
      </c>
      <c r="J273" s="2">
        <v>83.132999999999996</v>
      </c>
      <c r="K273" s="3">
        <v>6.0559999999999997E-7</v>
      </c>
      <c r="L273" s="2">
        <v>9.1515000000000004</v>
      </c>
      <c r="M273" s="3">
        <v>1.3337999999999999E-2</v>
      </c>
      <c r="N273" s="3">
        <v>2.6186999999999998E-5</v>
      </c>
      <c r="O273" s="3">
        <v>5.7755999999999997E-3</v>
      </c>
    </row>
    <row r="274" spans="1:15" ht="15.75">
      <c r="A274" s="2">
        <v>65.400000000000006</v>
      </c>
      <c r="B274" s="8">
        <v>2</v>
      </c>
      <c r="C274" s="8">
        <v>20</v>
      </c>
      <c r="D274" s="8">
        <v>7</v>
      </c>
      <c r="E274" s="8">
        <v>14</v>
      </c>
      <c r="F274" s="8">
        <v>4.9000000000000004</v>
      </c>
      <c r="G274" s="8">
        <v>0.2</v>
      </c>
      <c r="H274" s="2">
        <v>12.08</v>
      </c>
      <c r="I274" s="2">
        <v>-0.47499999999999998</v>
      </c>
      <c r="J274" s="2">
        <v>37.908999999999999</v>
      </c>
      <c r="K274" s="3">
        <v>3.8070999999999998E-4</v>
      </c>
      <c r="L274" s="2">
        <v>4.3617999999999997</v>
      </c>
      <c r="M274" s="3">
        <v>3.3706000000000001E-3</v>
      </c>
      <c r="N274" s="3">
        <v>1.2972E-5</v>
      </c>
      <c r="O274" s="3">
        <v>1.7103000000000001E-3</v>
      </c>
    </row>
    <row r="275" spans="1:15" ht="15.75">
      <c r="A275" s="2">
        <v>65.400000000000006</v>
      </c>
      <c r="B275" s="2">
        <v>2</v>
      </c>
      <c r="C275" s="2">
        <v>20</v>
      </c>
      <c r="D275" s="2">
        <v>7</v>
      </c>
      <c r="E275" s="2">
        <v>14</v>
      </c>
      <c r="F275" s="2">
        <v>5.32</v>
      </c>
      <c r="G275" s="2">
        <v>0.2</v>
      </c>
      <c r="H275" s="2">
        <v>12.13</v>
      </c>
      <c r="I275" s="2">
        <v>-0.47599999999999998</v>
      </c>
      <c r="J275" s="2">
        <v>35.390999999999998</v>
      </c>
      <c r="K275" s="3">
        <v>7.0772000000000001E-4</v>
      </c>
      <c r="L275" s="2">
        <v>4.4107000000000003</v>
      </c>
      <c r="M275" s="3">
        <v>3.3608000000000002E-3</v>
      </c>
      <c r="N275" s="3">
        <v>1.677E-6</v>
      </c>
      <c r="O275" s="3">
        <v>1.7166E-3</v>
      </c>
    </row>
    <row r="276" spans="1:15" ht="15.75">
      <c r="A276" s="2">
        <v>65.400000000000006</v>
      </c>
      <c r="B276" s="2">
        <v>2</v>
      </c>
      <c r="C276" s="2">
        <v>20</v>
      </c>
      <c r="D276" s="2">
        <v>7.6</v>
      </c>
      <c r="E276" s="2">
        <v>14</v>
      </c>
      <c r="F276" s="2">
        <v>4.9000000000000004</v>
      </c>
      <c r="G276" s="2">
        <v>0.2</v>
      </c>
      <c r="H276" s="2">
        <v>11.96</v>
      </c>
      <c r="I276" s="2">
        <v>-0.47299999999999998</v>
      </c>
      <c r="J276" s="2">
        <v>35.594999999999999</v>
      </c>
      <c r="K276" s="3">
        <v>3.6455999999999999E-4</v>
      </c>
      <c r="L276" s="2">
        <v>4.3320999999999996</v>
      </c>
      <c r="M276" s="3">
        <v>3.4055000000000001E-3</v>
      </c>
      <c r="N276" s="3">
        <v>9.5485000000000001E-6</v>
      </c>
      <c r="O276" s="3">
        <v>1.707E-3</v>
      </c>
    </row>
    <row r="277" spans="1:15" ht="15.75">
      <c r="A277" s="2">
        <v>65.400000000000006</v>
      </c>
      <c r="B277" s="2">
        <v>2</v>
      </c>
      <c r="C277" s="2">
        <v>20</v>
      </c>
      <c r="D277" s="2">
        <v>7.6</v>
      </c>
      <c r="E277" s="2">
        <v>14</v>
      </c>
      <c r="F277" s="2">
        <v>5.32</v>
      </c>
      <c r="G277" s="2">
        <v>0.2</v>
      </c>
      <c r="H277" s="2">
        <v>12.03</v>
      </c>
      <c r="I277" s="2">
        <v>-0.47499999999999998</v>
      </c>
      <c r="J277" s="2">
        <v>31.501999999999999</v>
      </c>
      <c r="K277" s="3">
        <v>5.2178999999999995E-4</v>
      </c>
      <c r="L277" s="2">
        <v>4.3346999999999998</v>
      </c>
      <c r="M277" s="3">
        <v>3.3914000000000001E-3</v>
      </c>
      <c r="N277" s="3">
        <v>7.3688999999999999E-6</v>
      </c>
      <c r="O277" s="3">
        <v>1.7049999999999999E-3</v>
      </c>
    </row>
    <row r="278" spans="1:15" ht="15.75">
      <c r="A278" s="2">
        <v>67.8</v>
      </c>
      <c r="B278" s="2">
        <v>2</v>
      </c>
      <c r="C278" s="2">
        <v>20</v>
      </c>
      <c r="D278" s="8">
        <v>7</v>
      </c>
      <c r="E278" s="2">
        <v>16</v>
      </c>
      <c r="F278" s="2">
        <v>5.6</v>
      </c>
      <c r="G278" s="2">
        <v>0.2</v>
      </c>
      <c r="H278" s="2">
        <v>9.7100000000000009</v>
      </c>
      <c r="I278" s="2">
        <v>-0.46800000000000003</v>
      </c>
      <c r="J278" s="2">
        <v>39.520000000000003</v>
      </c>
      <c r="K278" s="3">
        <v>4.6823999999999998E-5</v>
      </c>
      <c r="L278" s="2">
        <v>4.8426</v>
      </c>
      <c r="M278" s="3">
        <v>4.2113999999999997E-3</v>
      </c>
      <c r="N278" s="3">
        <v>4.4828999999999999E-6</v>
      </c>
      <c r="O278" s="3">
        <v>2.0366E-3</v>
      </c>
    </row>
    <row r="279" spans="1:15" ht="15.75">
      <c r="A279" s="2">
        <v>67.8</v>
      </c>
      <c r="B279" s="2">
        <v>2</v>
      </c>
      <c r="C279" s="2">
        <v>20</v>
      </c>
      <c r="D279" s="2">
        <v>7</v>
      </c>
      <c r="E279" s="2">
        <v>16</v>
      </c>
      <c r="F279" s="2">
        <v>6.08</v>
      </c>
      <c r="G279" s="2">
        <v>0.2</v>
      </c>
      <c r="H279" s="2">
        <v>9.76</v>
      </c>
      <c r="I279" s="2">
        <v>-0.47099999999999997</v>
      </c>
      <c r="J279" s="2">
        <v>34.728000000000002</v>
      </c>
      <c r="K279" s="3">
        <v>1.4756E-4</v>
      </c>
      <c r="L279" s="2">
        <v>4.8238000000000003</v>
      </c>
      <c r="M279" s="3">
        <v>4.1993000000000004E-3</v>
      </c>
      <c r="N279" s="3">
        <v>2.4355999999999999E-7</v>
      </c>
      <c r="O279" s="3">
        <v>2.0425999999999999E-3</v>
      </c>
    </row>
    <row r="280" spans="1:15" ht="15.75">
      <c r="A280" s="2">
        <v>67.8</v>
      </c>
      <c r="B280" s="2">
        <v>2</v>
      </c>
      <c r="C280" s="2">
        <v>20</v>
      </c>
      <c r="D280" s="2">
        <v>7.6</v>
      </c>
      <c r="E280" s="2">
        <v>16</v>
      </c>
      <c r="F280" s="2">
        <v>5.6</v>
      </c>
      <c r="G280" s="2">
        <v>0.2</v>
      </c>
      <c r="H280" s="2">
        <v>9.59</v>
      </c>
      <c r="I280" s="2">
        <v>-0.46500000000000002</v>
      </c>
      <c r="J280" s="2">
        <v>40.704999999999998</v>
      </c>
      <c r="K280" s="3">
        <v>4.4326999999999998E-5</v>
      </c>
      <c r="L280" s="2">
        <v>4.8730000000000002</v>
      </c>
      <c r="M280" s="3">
        <v>4.2640999999999998E-3</v>
      </c>
      <c r="N280" s="3">
        <v>7.0363000000000001E-7</v>
      </c>
      <c r="O280" s="3">
        <v>2.0357000000000001E-3</v>
      </c>
    </row>
    <row r="281" spans="1:15" ht="15.75">
      <c r="A281" s="2">
        <v>67.8</v>
      </c>
      <c r="B281" s="2">
        <v>2</v>
      </c>
      <c r="C281" s="2">
        <v>20</v>
      </c>
      <c r="D281" s="2">
        <v>7.6</v>
      </c>
      <c r="E281" s="2">
        <v>16</v>
      </c>
      <c r="F281" s="2">
        <v>6.08</v>
      </c>
      <c r="G281" s="2">
        <v>0.2</v>
      </c>
      <c r="H281" s="2">
        <v>9.64</v>
      </c>
      <c r="I281" s="2">
        <v>-0.46800000000000003</v>
      </c>
      <c r="J281" s="2">
        <v>40.026000000000003</v>
      </c>
      <c r="K281" s="3">
        <v>1.0463000000000001E-4</v>
      </c>
      <c r="L281" s="2">
        <v>4.8516000000000004</v>
      </c>
      <c r="M281" s="3">
        <v>4.2491999999999999E-3</v>
      </c>
      <c r="N281" s="3">
        <v>2.1301000000000002E-6</v>
      </c>
      <c r="O281" s="3">
        <v>2.0344E-3</v>
      </c>
    </row>
    <row r="282" spans="1:15" ht="15.75">
      <c r="A282" s="2">
        <v>69.599999999999994</v>
      </c>
      <c r="B282" s="2">
        <v>2</v>
      </c>
      <c r="C282" s="2">
        <v>20</v>
      </c>
      <c r="D282" s="8">
        <v>7</v>
      </c>
      <c r="E282" s="2">
        <v>18</v>
      </c>
      <c r="F282" s="2">
        <v>6.3</v>
      </c>
      <c r="G282" s="2">
        <v>0.2</v>
      </c>
      <c r="H282" s="2">
        <v>7.95</v>
      </c>
      <c r="I282" s="2">
        <v>-0.45600000000000002</v>
      </c>
      <c r="J282" s="2">
        <v>45.228000000000002</v>
      </c>
      <c r="K282" s="3">
        <v>5.1281000000000001E-6</v>
      </c>
      <c r="L282" s="2">
        <v>5.2164000000000001</v>
      </c>
      <c r="M282" s="3">
        <v>5.1631000000000003E-3</v>
      </c>
      <c r="N282" s="3">
        <v>3.7432E-6</v>
      </c>
      <c r="O282" s="3">
        <v>2.3804E-3</v>
      </c>
    </row>
    <row r="283" spans="1:15" ht="15.75">
      <c r="A283" s="2">
        <v>69.599999999999994</v>
      </c>
      <c r="B283" s="2">
        <v>2</v>
      </c>
      <c r="C283" s="2">
        <v>20</v>
      </c>
      <c r="D283" s="2">
        <v>7</v>
      </c>
      <c r="E283" s="2">
        <v>18</v>
      </c>
      <c r="F283" s="2">
        <v>6.84</v>
      </c>
      <c r="G283" s="2">
        <v>0.2</v>
      </c>
      <c r="H283" s="2">
        <v>7.99</v>
      </c>
      <c r="I283" s="2">
        <v>-0.45900000000000002</v>
      </c>
      <c r="J283" s="2">
        <v>45.945</v>
      </c>
      <c r="K283" s="3">
        <v>1.2758000000000001E-5</v>
      </c>
      <c r="L283" s="2">
        <v>5.2698</v>
      </c>
      <c r="M283" s="3">
        <v>5.1517999999999998E-3</v>
      </c>
      <c r="N283" s="3">
        <v>1.0479000000000001E-5</v>
      </c>
      <c r="O283" s="3">
        <v>2.3860000000000001E-3</v>
      </c>
    </row>
    <row r="284" spans="1:15" ht="15.75">
      <c r="A284" s="2">
        <v>69.599999999999994</v>
      </c>
      <c r="B284" s="2">
        <v>2</v>
      </c>
      <c r="C284" s="2">
        <v>20</v>
      </c>
      <c r="D284" s="2">
        <v>7.6</v>
      </c>
      <c r="E284" s="2">
        <v>18</v>
      </c>
      <c r="F284" s="2">
        <v>6.3</v>
      </c>
      <c r="G284" s="2">
        <v>0.2</v>
      </c>
      <c r="H284" s="2">
        <v>7.85</v>
      </c>
      <c r="I284" s="2">
        <v>-0.45200000000000001</v>
      </c>
      <c r="J284" s="2">
        <v>50.488</v>
      </c>
      <c r="K284" s="3">
        <v>4.9104999999999998E-6</v>
      </c>
      <c r="L284" s="2">
        <v>5.2630999999999997</v>
      </c>
      <c r="M284" s="9">
        <v>5.2331000000000001E-3</v>
      </c>
      <c r="N284" s="9">
        <v>3.4649999999999999E-6</v>
      </c>
      <c r="O284" s="9">
        <v>2.3865000000000002E-3</v>
      </c>
    </row>
    <row r="285" spans="1:15" ht="15.75">
      <c r="A285" s="2">
        <v>69.599999999999994</v>
      </c>
      <c r="B285" s="2">
        <v>2</v>
      </c>
      <c r="C285" s="2">
        <v>20</v>
      </c>
      <c r="D285" s="2">
        <v>7.6</v>
      </c>
      <c r="E285" s="2">
        <v>18</v>
      </c>
      <c r="F285" s="2">
        <v>6.84</v>
      </c>
      <c r="G285" s="2">
        <v>0.2</v>
      </c>
      <c r="H285" s="2">
        <v>7.88</v>
      </c>
      <c r="I285" s="2">
        <v>-0.45500000000000002</v>
      </c>
      <c r="J285" s="2">
        <v>47.463000000000001</v>
      </c>
      <c r="K285" s="3">
        <v>1.4585E-5</v>
      </c>
      <c r="L285" s="2">
        <v>5.2508999999999997</v>
      </c>
      <c r="M285" s="3">
        <v>5.2176000000000002E-3</v>
      </c>
      <c r="N285" s="3">
        <v>4.7295000000000002E-6</v>
      </c>
      <c r="O285" s="3">
        <v>2.3892000000000002E-3</v>
      </c>
    </row>
    <row r="286" spans="1:15" ht="15.75">
      <c r="A286" s="2">
        <v>71.099999999999994</v>
      </c>
      <c r="B286" s="2">
        <v>2</v>
      </c>
      <c r="C286" s="2">
        <v>20</v>
      </c>
      <c r="D286" s="8">
        <v>7</v>
      </c>
      <c r="E286" s="2">
        <v>20</v>
      </c>
      <c r="F286" s="2">
        <v>7</v>
      </c>
      <c r="G286" s="2">
        <v>0.2</v>
      </c>
      <c r="H286" s="2">
        <v>6.61</v>
      </c>
      <c r="I286" s="2">
        <v>-0.441</v>
      </c>
      <c r="J286" s="2">
        <v>53.218000000000004</v>
      </c>
      <c r="K286" s="3">
        <v>1.1274E-6</v>
      </c>
      <c r="L286" s="2">
        <v>5.7320000000000002</v>
      </c>
      <c r="M286" s="3">
        <v>6.2315000000000001E-3</v>
      </c>
      <c r="N286" s="3">
        <v>2.4912E-6</v>
      </c>
      <c r="O286" s="3">
        <v>2.7564E-3</v>
      </c>
    </row>
    <row r="287" spans="1:15" ht="15.75">
      <c r="A287" s="2">
        <v>71.099999999999994</v>
      </c>
      <c r="B287" s="2">
        <v>2</v>
      </c>
      <c r="C287" s="2">
        <v>20</v>
      </c>
      <c r="D287" s="2">
        <v>7</v>
      </c>
      <c r="E287" s="14">
        <v>20</v>
      </c>
      <c r="F287" s="14">
        <v>7.6</v>
      </c>
      <c r="G287" s="2">
        <v>0.2</v>
      </c>
      <c r="H287" s="2">
        <v>6.64</v>
      </c>
      <c r="I287" s="2">
        <v>-0.44400000000000001</v>
      </c>
      <c r="J287" s="2">
        <v>49.89</v>
      </c>
      <c r="K287" s="3">
        <v>4.6847000000000002E-6</v>
      </c>
      <c r="L287" s="2">
        <v>5.7369000000000003</v>
      </c>
      <c r="M287" s="3">
        <v>6.2183999999999998E-3</v>
      </c>
      <c r="N287" s="3">
        <v>3.185E-7</v>
      </c>
      <c r="O287" s="3">
        <v>2.7599999999999999E-3</v>
      </c>
    </row>
    <row r="288" spans="1:15" ht="15.75">
      <c r="A288" s="2">
        <v>71.099999999999994</v>
      </c>
      <c r="B288" s="2">
        <v>2</v>
      </c>
      <c r="C288" s="2">
        <v>20</v>
      </c>
      <c r="D288" s="2">
        <v>7.6</v>
      </c>
      <c r="E288" s="14">
        <v>20</v>
      </c>
      <c r="F288" s="14">
        <v>7</v>
      </c>
      <c r="G288" s="2">
        <v>0.2</v>
      </c>
      <c r="H288" s="2">
        <v>6.52</v>
      </c>
      <c r="I288" s="2">
        <v>-0.435</v>
      </c>
      <c r="J288" s="2">
        <v>50.372999999999998</v>
      </c>
      <c r="K288" s="3">
        <v>1.2270000000000001E-6</v>
      </c>
      <c r="L288" s="2">
        <v>5.7228000000000003</v>
      </c>
      <c r="M288" s="3">
        <v>6.3176999999999999E-3</v>
      </c>
      <c r="N288" s="3">
        <v>1.5252000000000001E-5</v>
      </c>
      <c r="O288" s="3">
        <v>2.7683999999999999E-3</v>
      </c>
    </row>
    <row r="289" spans="1:15" ht="15.75">
      <c r="A289" s="2">
        <v>71.099999999999994</v>
      </c>
      <c r="B289" s="2">
        <v>2</v>
      </c>
      <c r="C289" s="2">
        <v>20</v>
      </c>
      <c r="D289" s="2">
        <v>7.6</v>
      </c>
      <c r="E289" s="5">
        <v>20</v>
      </c>
      <c r="F289" s="5">
        <v>7.6</v>
      </c>
      <c r="G289" s="2">
        <v>0.2</v>
      </c>
      <c r="H289" s="2">
        <v>6.55</v>
      </c>
      <c r="I289" s="2">
        <v>-0.438</v>
      </c>
      <c r="J289" s="2">
        <v>52.447000000000003</v>
      </c>
      <c r="K289" s="3">
        <v>4.3553999999999998E-6</v>
      </c>
      <c r="L289" s="2">
        <v>5.7045000000000003</v>
      </c>
      <c r="M289" s="3">
        <v>6.3001000000000003E-3</v>
      </c>
      <c r="N289" s="3">
        <v>1.1467999999999999E-5</v>
      </c>
      <c r="O289" s="3">
        <v>2.7710999999999999E-3</v>
      </c>
    </row>
    <row r="290" spans="1:15" ht="15.75">
      <c r="A290" s="2">
        <v>57.9</v>
      </c>
      <c r="B290" s="8">
        <v>2.5</v>
      </c>
      <c r="C290" s="8">
        <v>20</v>
      </c>
      <c r="D290" s="8">
        <v>7</v>
      </c>
      <c r="E290" s="8">
        <v>14</v>
      </c>
      <c r="F290" s="8">
        <v>4.9000000000000004</v>
      </c>
      <c r="G290" s="8">
        <v>0.2</v>
      </c>
      <c r="H290" s="2">
        <v>20.23</v>
      </c>
      <c r="I290" s="2">
        <v>-0.378</v>
      </c>
      <c r="J290" s="2">
        <v>25.103999999999999</v>
      </c>
      <c r="K290" s="3">
        <v>1.0474E-3</v>
      </c>
      <c r="L290" s="2">
        <v>3.1133000000000002</v>
      </c>
      <c r="M290" s="3">
        <v>2.0027999999999999E-3</v>
      </c>
      <c r="N290" s="3">
        <v>9.3099000000000004E-6</v>
      </c>
      <c r="O290" s="3">
        <v>1.0323000000000001E-3</v>
      </c>
    </row>
    <row r="291" spans="1:15" ht="15.75">
      <c r="A291" s="2">
        <v>57.9</v>
      </c>
      <c r="B291" s="2">
        <v>2.5</v>
      </c>
      <c r="C291" s="2">
        <v>20</v>
      </c>
      <c r="D291" s="2">
        <v>7</v>
      </c>
      <c r="E291" s="2">
        <v>14</v>
      </c>
      <c r="F291" s="2">
        <v>5.32</v>
      </c>
      <c r="G291" s="2">
        <v>0.2</v>
      </c>
      <c r="H291" s="2">
        <v>20.3</v>
      </c>
      <c r="I291" s="2">
        <v>-0.38</v>
      </c>
      <c r="J291" s="2">
        <v>23.2</v>
      </c>
      <c r="K291" s="3">
        <v>1.4452E-3</v>
      </c>
      <c r="L291" s="2">
        <v>3.1105999999999998</v>
      </c>
      <c r="M291" s="3">
        <v>1.9970999999999999E-3</v>
      </c>
      <c r="N291" s="3">
        <v>1.0091999999999999E-5</v>
      </c>
      <c r="O291" s="3">
        <v>1.0345E-3</v>
      </c>
    </row>
    <row r="292" spans="1:15" ht="15.75">
      <c r="A292" s="2">
        <v>57.9</v>
      </c>
      <c r="B292" s="2">
        <v>2.5</v>
      </c>
      <c r="C292" s="2">
        <v>20</v>
      </c>
      <c r="D292" s="2">
        <v>7.6</v>
      </c>
      <c r="E292" s="2">
        <v>14</v>
      </c>
      <c r="F292" s="2">
        <v>4.9000000000000004</v>
      </c>
      <c r="G292" s="2">
        <v>0.2</v>
      </c>
      <c r="H292" s="2">
        <v>20.02</v>
      </c>
      <c r="I292" s="2">
        <v>-0.378</v>
      </c>
      <c r="J292" s="2">
        <v>20.831</v>
      </c>
      <c r="K292" s="3">
        <v>1.1077000000000001E-3</v>
      </c>
      <c r="L292" s="2">
        <v>3.1475</v>
      </c>
      <c r="M292" s="3">
        <v>2.0248000000000002E-3</v>
      </c>
      <c r="N292" s="3">
        <v>2.4577000000000002E-6</v>
      </c>
      <c r="O292" s="3">
        <v>1.0286E-3</v>
      </c>
    </row>
    <row r="293" spans="1:15" ht="15.75">
      <c r="A293" s="2">
        <v>57.9</v>
      </c>
      <c r="B293" s="2">
        <v>2.5</v>
      </c>
      <c r="C293" s="2">
        <v>20</v>
      </c>
      <c r="D293" s="2">
        <v>7.6</v>
      </c>
      <c r="E293" s="2">
        <v>14</v>
      </c>
      <c r="F293" s="2">
        <v>5.32</v>
      </c>
      <c r="G293" s="2">
        <v>0.2</v>
      </c>
      <c r="H293" s="2">
        <v>20.11</v>
      </c>
      <c r="I293" s="2">
        <v>-0.38</v>
      </c>
      <c r="J293" s="2">
        <v>23.731000000000002</v>
      </c>
      <c r="K293" s="3">
        <v>1.8112E-3</v>
      </c>
      <c r="L293" s="2">
        <v>3.1591999999999998</v>
      </c>
      <c r="M293" s="3">
        <v>2.0175000000000002E-3</v>
      </c>
      <c r="N293" s="3">
        <v>3.3046999999999999E-6</v>
      </c>
      <c r="O293" s="3">
        <v>1.0292999999999999E-3</v>
      </c>
    </row>
    <row r="294" spans="1:15" ht="15.75">
      <c r="A294" s="2">
        <v>60.7</v>
      </c>
      <c r="B294" s="2">
        <v>2.5</v>
      </c>
      <c r="C294" s="2">
        <v>20</v>
      </c>
      <c r="D294" s="8">
        <v>7</v>
      </c>
      <c r="E294" s="2">
        <v>16</v>
      </c>
      <c r="F294" s="2">
        <v>5.6</v>
      </c>
      <c r="G294" s="2">
        <v>0.2</v>
      </c>
      <c r="H294" s="2">
        <v>16.41</v>
      </c>
      <c r="I294" s="2">
        <v>-0.38400000000000001</v>
      </c>
      <c r="J294" s="2">
        <v>28.789000000000001</v>
      </c>
      <c r="K294" s="3">
        <v>4.1106999999999998E-4</v>
      </c>
      <c r="L294" s="2">
        <v>3.4769999999999999</v>
      </c>
      <c r="M294" s="3">
        <v>2.4781999999999998E-3</v>
      </c>
      <c r="N294" s="3">
        <v>4.2490000000000003E-6</v>
      </c>
      <c r="O294" s="3">
        <v>1.2162E-3</v>
      </c>
    </row>
    <row r="295" spans="1:15" ht="15.75">
      <c r="A295" s="2">
        <v>60.7</v>
      </c>
      <c r="B295" s="2">
        <v>2.5</v>
      </c>
      <c r="C295" s="2">
        <v>20</v>
      </c>
      <c r="D295" s="2">
        <v>7</v>
      </c>
      <c r="E295" s="2">
        <v>16</v>
      </c>
      <c r="F295" s="2">
        <v>6.08</v>
      </c>
      <c r="G295" s="2">
        <v>0.2</v>
      </c>
      <c r="H295" s="2">
        <v>16.48</v>
      </c>
      <c r="I295" s="2">
        <v>-0.38600000000000001</v>
      </c>
      <c r="J295" s="2">
        <v>27.523</v>
      </c>
      <c r="K295" s="3">
        <v>8.9451000000000005E-4</v>
      </c>
      <c r="L295" s="2">
        <v>3.4910000000000001</v>
      </c>
      <c r="M295" s="3">
        <v>2.4715000000000002E-3</v>
      </c>
      <c r="N295" s="3">
        <v>6.1275000000000002E-6</v>
      </c>
      <c r="O295" s="3">
        <v>1.2218000000000001E-3</v>
      </c>
    </row>
    <row r="296" spans="1:15" ht="15.75">
      <c r="A296" s="2">
        <v>60.7</v>
      </c>
      <c r="B296" s="2">
        <v>2.5</v>
      </c>
      <c r="C296" s="2">
        <v>20</v>
      </c>
      <c r="D296" s="2">
        <v>7.6</v>
      </c>
      <c r="E296" s="2">
        <v>16</v>
      </c>
      <c r="F296" s="2">
        <v>5.6</v>
      </c>
      <c r="G296" s="2">
        <v>0.2</v>
      </c>
      <c r="H296" s="2">
        <v>16.21</v>
      </c>
      <c r="I296" s="2">
        <v>-0.38200000000000001</v>
      </c>
      <c r="J296" s="2">
        <v>28.457999999999998</v>
      </c>
      <c r="K296" s="3">
        <v>3.4862000000000001E-4</v>
      </c>
      <c r="L296" s="2">
        <v>3.4847000000000001</v>
      </c>
      <c r="M296" s="3">
        <v>2.5097000000000001E-3</v>
      </c>
      <c r="N296" s="3">
        <v>1.0965E-6</v>
      </c>
      <c r="O296" s="3">
        <v>1.2187999999999999E-3</v>
      </c>
    </row>
    <row r="297" spans="1:15" ht="15.75">
      <c r="A297" s="2">
        <v>60.7</v>
      </c>
      <c r="B297" s="2">
        <v>2.5</v>
      </c>
      <c r="C297" s="2">
        <v>20</v>
      </c>
      <c r="D297" s="2">
        <v>7.6</v>
      </c>
      <c r="E297" s="2">
        <v>16</v>
      </c>
      <c r="F297" s="2">
        <v>6.08</v>
      </c>
      <c r="G297" s="2">
        <v>0.2</v>
      </c>
      <c r="H297" s="2">
        <v>16.29</v>
      </c>
      <c r="I297" s="2">
        <v>-0.38400000000000001</v>
      </c>
      <c r="J297" s="2">
        <v>28.068000000000001</v>
      </c>
      <c r="K297" s="3">
        <v>5.6614000000000002E-4</v>
      </c>
      <c r="L297" s="2">
        <v>3.5329000000000002</v>
      </c>
      <c r="M297" s="3">
        <v>2.5008000000000001E-3</v>
      </c>
      <c r="N297" s="3">
        <v>1.9833000000000001E-6</v>
      </c>
      <c r="O297" s="3">
        <v>1.2206999999999999E-3</v>
      </c>
    </row>
    <row r="298" spans="1:15" ht="15.75">
      <c r="A298" s="2">
        <v>62.9</v>
      </c>
      <c r="B298" s="2">
        <v>2.5</v>
      </c>
      <c r="C298" s="2">
        <v>20</v>
      </c>
      <c r="D298" s="8">
        <v>7</v>
      </c>
      <c r="E298" s="2">
        <v>18</v>
      </c>
      <c r="F298" s="2">
        <v>6.3</v>
      </c>
      <c r="G298" s="2">
        <v>0.2</v>
      </c>
      <c r="H298" s="2">
        <v>13.55</v>
      </c>
      <c r="I298" s="2">
        <v>-0.38200000000000001</v>
      </c>
      <c r="J298" s="2">
        <v>32.195999999999998</v>
      </c>
      <c r="K298" s="3">
        <v>1.3563E-4</v>
      </c>
      <c r="L298" s="2">
        <v>3.7936999999999999</v>
      </c>
      <c r="M298" s="3">
        <v>3.0130000000000001E-3</v>
      </c>
      <c r="N298" s="3">
        <v>2.6216E-6</v>
      </c>
      <c r="O298" s="3">
        <v>1.4153E-3</v>
      </c>
    </row>
    <row r="299" spans="1:15" ht="15.75">
      <c r="A299" s="2">
        <v>62.9</v>
      </c>
      <c r="B299" s="2">
        <v>2.5</v>
      </c>
      <c r="C299" s="2">
        <v>20</v>
      </c>
      <c r="D299" s="2">
        <v>7</v>
      </c>
      <c r="E299" s="2">
        <v>18</v>
      </c>
      <c r="F299" s="2">
        <v>6.84</v>
      </c>
      <c r="G299" s="2">
        <v>0.2</v>
      </c>
      <c r="H299" s="2">
        <v>13.61</v>
      </c>
      <c r="I299" s="2">
        <v>-0.38500000000000001</v>
      </c>
      <c r="J299" s="2">
        <v>32.149000000000001</v>
      </c>
      <c r="K299" s="3">
        <v>9.4526999999999998E-5</v>
      </c>
      <c r="L299" s="2">
        <v>3.8409</v>
      </c>
      <c r="M299" s="3">
        <v>3.0052E-3</v>
      </c>
      <c r="N299" s="3">
        <v>1.2142E-6</v>
      </c>
      <c r="O299" s="3">
        <v>1.4201999999999999E-3</v>
      </c>
    </row>
    <row r="300" spans="1:15" ht="15.75">
      <c r="A300" s="2">
        <v>62.9</v>
      </c>
      <c r="B300" s="2">
        <v>2.5</v>
      </c>
      <c r="C300" s="2">
        <v>20</v>
      </c>
      <c r="D300" s="2">
        <v>7.6</v>
      </c>
      <c r="E300" s="2">
        <v>18</v>
      </c>
      <c r="F300" s="2">
        <v>6.3</v>
      </c>
      <c r="G300" s="2">
        <v>0.2</v>
      </c>
      <c r="H300" s="2">
        <v>13.37</v>
      </c>
      <c r="I300" s="2">
        <v>-0.379</v>
      </c>
      <c r="J300" s="2">
        <v>33.238</v>
      </c>
      <c r="K300" s="3">
        <v>9.0074999999999994E-5</v>
      </c>
      <c r="L300" s="2">
        <v>3.8182999999999998</v>
      </c>
      <c r="M300" s="3">
        <v>3.0531E-3</v>
      </c>
      <c r="N300" s="3">
        <v>2.5508999999999999E-7</v>
      </c>
      <c r="O300" s="3">
        <v>1.4197999999999999E-3</v>
      </c>
    </row>
    <row r="301" spans="1:15" ht="15.75">
      <c r="A301" s="2">
        <v>62.9</v>
      </c>
      <c r="B301" s="2">
        <v>2.5</v>
      </c>
      <c r="C301" s="2">
        <v>20</v>
      </c>
      <c r="D301" s="2">
        <v>7.6</v>
      </c>
      <c r="E301" s="2">
        <v>18</v>
      </c>
      <c r="F301" s="2">
        <v>6.84</v>
      </c>
      <c r="G301" s="2">
        <v>0.2</v>
      </c>
      <c r="H301" s="2">
        <v>13.43</v>
      </c>
      <c r="I301" s="2">
        <v>-0.38200000000000001</v>
      </c>
      <c r="J301" s="2">
        <v>33.57</v>
      </c>
      <c r="K301" s="3">
        <v>1.6116000000000001E-4</v>
      </c>
      <c r="L301" s="2">
        <v>3.9340000000000002</v>
      </c>
      <c r="M301" s="3">
        <v>3.0439999999999998E-3</v>
      </c>
      <c r="N301" s="3">
        <v>2.4698999999999998E-6</v>
      </c>
      <c r="O301" s="3">
        <v>1.4231000000000001E-3</v>
      </c>
    </row>
    <row r="302" spans="1:15" ht="15.75">
      <c r="A302" s="2">
        <v>64.599999999999994</v>
      </c>
      <c r="B302" s="2">
        <v>2.5</v>
      </c>
      <c r="C302" s="2">
        <v>20</v>
      </c>
      <c r="D302" s="8">
        <v>7</v>
      </c>
      <c r="E302" s="2">
        <v>20</v>
      </c>
      <c r="F302" s="2">
        <v>7</v>
      </c>
      <c r="G302" s="2">
        <v>0.2</v>
      </c>
      <c r="H302" s="2">
        <v>11.35</v>
      </c>
      <c r="I302" s="2">
        <v>-0.375</v>
      </c>
      <c r="J302" s="2">
        <v>32.21</v>
      </c>
      <c r="K302" s="3">
        <v>2.9E-5</v>
      </c>
      <c r="L302" s="2">
        <v>4.1731999999999996</v>
      </c>
      <c r="M302" s="3">
        <v>3.6088000000000001E-3</v>
      </c>
      <c r="N302" s="3">
        <v>4.0656999999999999E-6</v>
      </c>
      <c r="O302" s="3">
        <v>1.6253000000000001E-3</v>
      </c>
    </row>
    <row r="303" spans="1:15" ht="15.75">
      <c r="A303" s="2">
        <v>64.599999999999994</v>
      </c>
      <c r="B303" s="2">
        <v>2.5</v>
      </c>
      <c r="C303" s="2">
        <v>20</v>
      </c>
      <c r="D303" s="2">
        <v>7</v>
      </c>
      <c r="E303" s="2">
        <v>20</v>
      </c>
      <c r="F303" s="2">
        <v>7.6</v>
      </c>
      <c r="G303" s="2">
        <v>0.2</v>
      </c>
      <c r="H303" s="2">
        <v>11.4</v>
      </c>
      <c r="I303" s="2">
        <v>-0.378</v>
      </c>
      <c r="J303" s="2">
        <v>34.238999999999997</v>
      </c>
      <c r="K303" s="3">
        <v>6.3182999999999995E-5</v>
      </c>
      <c r="L303" s="2">
        <v>4.1742999999999997</v>
      </c>
      <c r="M303" s="3">
        <v>3.5991E-3</v>
      </c>
      <c r="N303" s="3">
        <v>2.8165000000000001E-6</v>
      </c>
      <c r="O303" s="3">
        <v>1.629E-3</v>
      </c>
    </row>
    <row r="304" spans="1:15" ht="15.75">
      <c r="A304" s="2">
        <v>64.599999999999994</v>
      </c>
      <c r="B304" s="2">
        <v>2.5</v>
      </c>
      <c r="C304" s="2">
        <v>20</v>
      </c>
      <c r="D304" s="2">
        <v>7.6</v>
      </c>
      <c r="E304" s="2">
        <v>20</v>
      </c>
      <c r="F304" s="2">
        <v>7</v>
      </c>
      <c r="G304" s="2">
        <v>0.2</v>
      </c>
      <c r="H304" s="2">
        <v>11.2</v>
      </c>
      <c r="I304" s="2">
        <v>-0.371</v>
      </c>
      <c r="J304" s="2">
        <v>36.911000000000001</v>
      </c>
      <c r="K304" s="3">
        <v>4.1795000000000002E-5</v>
      </c>
      <c r="L304" s="2">
        <v>4.1597</v>
      </c>
      <c r="M304" s="3">
        <v>3.6575000000000002E-3</v>
      </c>
      <c r="N304" s="3">
        <v>8.7602000000000006E-8</v>
      </c>
      <c r="O304" s="3">
        <v>1.6322999999999999E-3</v>
      </c>
    </row>
    <row r="305" spans="1:15" ht="15.75">
      <c r="A305" s="2">
        <v>64.599999999999994</v>
      </c>
      <c r="B305" s="2">
        <v>2.5</v>
      </c>
      <c r="C305" s="2">
        <v>20</v>
      </c>
      <c r="D305" s="2">
        <v>7.6</v>
      </c>
      <c r="E305" s="13">
        <v>20</v>
      </c>
      <c r="F305" s="13">
        <v>7.6</v>
      </c>
      <c r="G305" s="2">
        <v>0.2</v>
      </c>
      <c r="H305" s="2">
        <v>11.25</v>
      </c>
      <c r="I305" s="2">
        <v>-0.374</v>
      </c>
      <c r="J305" s="2">
        <v>30.895</v>
      </c>
      <c r="K305" s="3">
        <v>6.7594000000000004E-5</v>
      </c>
      <c r="L305" s="2">
        <v>4.2068000000000003</v>
      </c>
      <c r="M305" s="3">
        <v>3.6465E-3</v>
      </c>
      <c r="N305" s="3">
        <v>1.0218999999999999E-6</v>
      </c>
      <c r="O305" s="3">
        <v>1.6368999999999999E-3</v>
      </c>
    </row>
    <row r="306" spans="1:15" ht="15.75">
      <c r="A306" s="2">
        <v>50.8</v>
      </c>
      <c r="B306" s="8">
        <v>3</v>
      </c>
      <c r="C306" s="8">
        <v>20</v>
      </c>
      <c r="D306" s="8">
        <v>7</v>
      </c>
      <c r="E306" s="8">
        <v>14</v>
      </c>
      <c r="F306" s="8">
        <v>4.9000000000000004</v>
      </c>
      <c r="G306" s="8">
        <v>0.2</v>
      </c>
      <c r="H306" s="2">
        <v>29.87</v>
      </c>
      <c r="I306" s="2">
        <v>-0.27700000000000002</v>
      </c>
      <c r="J306" s="2">
        <v>17.358000000000001</v>
      </c>
      <c r="K306" s="3">
        <v>1.9498E-3</v>
      </c>
      <c r="L306" s="2">
        <v>2.4706000000000001</v>
      </c>
      <c r="M306" s="3">
        <v>1.3495E-3</v>
      </c>
      <c r="N306" s="3">
        <v>2.6522000000000001E-5</v>
      </c>
      <c r="O306" s="3">
        <v>7.0974999999999999E-4</v>
      </c>
    </row>
    <row r="307" spans="1:15" ht="15.75">
      <c r="A307" s="2">
        <v>50.8</v>
      </c>
      <c r="B307" s="2">
        <v>3</v>
      </c>
      <c r="C307" s="2">
        <v>20</v>
      </c>
      <c r="D307" s="2">
        <v>7</v>
      </c>
      <c r="E307" s="2">
        <v>14</v>
      </c>
      <c r="F307" s="2">
        <v>5.32</v>
      </c>
      <c r="G307" s="2">
        <v>0.2</v>
      </c>
      <c r="H307" s="2">
        <v>29.96</v>
      </c>
      <c r="I307" s="2">
        <v>-0.27900000000000003</v>
      </c>
      <c r="J307" s="2">
        <v>17.466000000000001</v>
      </c>
      <c r="K307" s="3">
        <v>1.5347E-3</v>
      </c>
      <c r="L307" s="2">
        <v>2.4780000000000002</v>
      </c>
      <c r="M307" s="3">
        <v>1.3462000000000001E-3</v>
      </c>
      <c r="N307" s="3">
        <v>2.7390999999999999E-5</v>
      </c>
      <c r="O307" s="3">
        <v>7.1140999999999999E-4</v>
      </c>
    </row>
    <row r="308" spans="1:15" ht="15.75">
      <c r="A308" s="2">
        <v>50.8</v>
      </c>
      <c r="B308" s="2">
        <v>3</v>
      </c>
      <c r="C308" s="2">
        <v>20</v>
      </c>
      <c r="D308" s="2">
        <v>7.6</v>
      </c>
      <c r="E308" s="2">
        <v>14</v>
      </c>
      <c r="F308" s="2">
        <v>4.9000000000000004</v>
      </c>
      <c r="G308" s="2">
        <v>0.2</v>
      </c>
      <c r="H308" s="2">
        <v>29.55</v>
      </c>
      <c r="I308" s="2">
        <v>-0.27800000000000002</v>
      </c>
      <c r="J308" s="2">
        <v>16.221</v>
      </c>
      <c r="K308" s="3">
        <v>1.8146E-3</v>
      </c>
      <c r="L308" s="2">
        <v>2.4279000000000002</v>
      </c>
      <c r="M308" s="3">
        <v>1.3645E-3</v>
      </c>
      <c r="N308" s="3">
        <v>2.3869000000000001E-5</v>
      </c>
      <c r="O308" s="3">
        <v>7.0695999999999997E-4</v>
      </c>
    </row>
    <row r="309" spans="1:15" ht="15.75">
      <c r="A309" s="2">
        <v>50.8</v>
      </c>
      <c r="B309" s="2">
        <v>3</v>
      </c>
      <c r="C309" s="2">
        <v>20</v>
      </c>
      <c r="D309" s="2">
        <v>7.6</v>
      </c>
      <c r="E309" s="2">
        <v>14</v>
      </c>
      <c r="F309" s="2">
        <v>5.32</v>
      </c>
      <c r="G309" s="2">
        <v>0.2</v>
      </c>
      <c r="H309" s="2">
        <v>29.66</v>
      </c>
      <c r="I309" s="2">
        <v>-0.28000000000000003</v>
      </c>
      <c r="J309" s="2">
        <v>18.643999999999998</v>
      </c>
      <c r="K309" s="3">
        <v>2.8357E-3</v>
      </c>
      <c r="L309" s="2">
        <v>2.464</v>
      </c>
      <c r="M309" s="3">
        <v>1.3603000000000001E-3</v>
      </c>
      <c r="N309" s="3">
        <v>2.4907999999999999E-5</v>
      </c>
      <c r="O309" s="3">
        <v>7.0883999999999997E-4</v>
      </c>
    </row>
    <row r="310" spans="1:15" ht="15.75">
      <c r="A310" s="2">
        <v>54</v>
      </c>
      <c r="B310" s="2">
        <v>3</v>
      </c>
      <c r="C310" s="2">
        <v>20</v>
      </c>
      <c r="D310" s="8">
        <v>7</v>
      </c>
      <c r="E310" s="2">
        <v>16</v>
      </c>
      <c r="F310" s="2">
        <v>5.6</v>
      </c>
      <c r="G310" s="2">
        <v>0.2</v>
      </c>
      <c r="H310" s="2">
        <v>24.47</v>
      </c>
      <c r="I310" s="2">
        <v>-0.29399999999999998</v>
      </c>
      <c r="J310" s="2">
        <v>19.32</v>
      </c>
      <c r="K310" s="3">
        <v>1.3772000000000001E-3</v>
      </c>
      <c r="L310" s="2">
        <v>2.7082000000000002</v>
      </c>
      <c r="M310" s="3">
        <v>1.6525999999999999E-3</v>
      </c>
      <c r="N310" s="3">
        <v>1.0611999999999999E-5</v>
      </c>
      <c r="O310" s="3">
        <v>8.3065999999999999E-4</v>
      </c>
    </row>
    <row r="311" spans="1:15" ht="15.75">
      <c r="A311" s="2">
        <v>54</v>
      </c>
      <c r="B311" s="2">
        <v>3</v>
      </c>
      <c r="C311" s="2">
        <v>20</v>
      </c>
      <c r="D311" s="2">
        <v>7</v>
      </c>
      <c r="E311" s="2">
        <v>16</v>
      </c>
      <c r="F311" s="2">
        <v>6.08</v>
      </c>
      <c r="G311" s="2">
        <v>0.2</v>
      </c>
      <c r="H311" s="2">
        <v>24.55</v>
      </c>
      <c r="I311" s="2">
        <v>-0.29599999999999999</v>
      </c>
      <c r="J311" s="2">
        <v>22.143999999999998</v>
      </c>
      <c r="K311" s="3">
        <v>2.8528999999999998E-3</v>
      </c>
      <c r="L311" s="2">
        <v>2.7128000000000001</v>
      </c>
      <c r="M311" s="3">
        <v>1.6485E-3</v>
      </c>
      <c r="N311" s="3">
        <v>1.0875E-5</v>
      </c>
      <c r="O311" s="3">
        <v>8.3381000000000004E-4</v>
      </c>
    </row>
    <row r="312" spans="1:15" ht="15.75">
      <c r="A312" s="2">
        <v>54</v>
      </c>
      <c r="B312" s="2">
        <v>3</v>
      </c>
      <c r="C312" s="2">
        <v>20</v>
      </c>
      <c r="D312" s="2">
        <v>7.6</v>
      </c>
      <c r="E312" s="2">
        <v>16</v>
      </c>
      <c r="F312" s="2">
        <v>5.6</v>
      </c>
      <c r="G312" s="2">
        <v>0.2</v>
      </c>
      <c r="H312" s="2">
        <v>24.18</v>
      </c>
      <c r="I312" s="2">
        <v>-0.29299999999999998</v>
      </c>
      <c r="J312" s="2">
        <v>20.97</v>
      </c>
      <c r="K312" s="3">
        <v>1.1917E-3</v>
      </c>
      <c r="L312" s="2">
        <v>2.7286000000000001</v>
      </c>
      <c r="M312" s="3">
        <v>1.6735000000000001E-3</v>
      </c>
      <c r="N312" s="3">
        <v>5.4863000000000001E-7</v>
      </c>
      <c r="O312" s="3">
        <v>8.3102999999999996E-4</v>
      </c>
    </row>
    <row r="313" spans="1:15" ht="15.75">
      <c r="A313" s="2">
        <v>54</v>
      </c>
      <c r="B313" s="2">
        <v>3</v>
      </c>
      <c r="C313" s="2">
        <v>20</v>
      </c>
      <c r="D313" s="2">
        <v>7.6</v>
      </c>
      <c r="E313" s="2">
        <v>16</v>
      </c>
      <c r="F313" s="2">
        <v>6.08</v>
      </c>
      <c r="G313" s="2">
        <v>0.2</v>
      </c>
      <c r="H313" s="2">
        <v>24.27</v>
      </c>
      <c r="I313" s="2">
        <v>-0.29599999999999999</v>
      </c>
      <c r="J313" s="2">
        <v>20.913</v>
      </c>
      <c r="K313" s="3">
        <v>1.0637999999999999E-3</v>
      </c>
      <c r="L313" s="2">
        <v>2.7189999999999999</v>
      </c>
      <c r="M313" s="3">
        <v>1.6681000000000001E-3</v>
      </c>
      <c r="N313" s="3">
        <v>3.2260999999999999E-6</v>
      </c>
      <c r="O313" s="3">
        <v>8.3213000000000004E-4</v>
      </c>
    </row>
    <row r="314" spans="1:15" ht="15.75">
      <c r="A314" s="2">
        <v>56.1</v>
      </c>
      <c r="B314" s="2">
        <v>3</v>
      </c>
      <c r="C314" s="2">
        <v>20</v>
      </c>
      <c r="D314" s="8">
        <v>7</v>
      </c>
      <c r="E314" s="2">
        <v>18</v>
      </c>
      <c r="F314" s="2">
        <v>6.3</v>
      </c>
      <c r="G314" s="2">
        <v>0.2</v>
      </c>
      <c r="H314" s="2">
        <v>20.37</v>
      </c>
      <c r="I314" s="2">
        <v>-0.30199999999999999</v>
      </c>
      <c r="J314" s="2">
        <v>23.971</v>
      </c>
      <c r="K314" s="3">
        <v>2.2227E-4</v>
      </c>
      <c r="L314" s="2">
        <v>2.9862000000000002</v>
      </c>
      <c r="M314" s="3">
        <v>1.9916000000000001E-3</v>
      </c>
      <c r="N314" s="3">
        <v>3.8010999999999999E-6</v>
      </c>
      <c r="O314" s="3">
        <v>9.6031000000000003E-4</v>
      </c>
    </row>
    <row r="315" spans="1:15" ht="15.75">
      <c r="A315" s="2">
        <v>56.1</v>
      </c>
      <c r="B315" s="2">
        <v>3</v>
      </c>
      <c r="C315" s="2">
        <v>20</v>
      </c>
      <c r="D315" s="2">
        <v>7</v>
      </c>
      <c r="E315" s="2">
        <v>18</v>
      </c>
      <c r="F315" s="2">
        <v>6.84</v>
      </c>
      <c r="G315" s="2">
        <v>0.2</v>
      </c>
      <c r="H315" s="2">
        <v>20.45</v>
      </c>
      <c r="I315" s="2">
        <v>-0.30499999999999999</v>
      </c>
      <c r="J315" s="2">
        <v>24.821999999999999</v>
      </c>
      <c r="K315" s="3">
        <v>4.9206E-4</v>
      </c>
      <c r="L315" s="2">
        <v>2.9558</v>
      </c>
      <c r="M315" s="3">
        <v>1.9862999999999999E-3</v>
      </c>
      <c r="N315" s="3">
        <v>5.3489999999999999E-6</v>
      </c>
      <c r="O315" s="3">
        <v>9.6294000000000002E-4</v>
      </c>
    </row>
    <row r="316" spans="1:15" ht="15.75">
      <c r="A316" s="2">
        <v>56.1</v>
      </c>
      <c r="B316" s="2">
        <v>3</v>
      </c>
      <c r="C316" s="2">
        <v>20</v>
      </c>
      <c r="D316" s="2">
        <v>7.6</v>
      </c>
      <c r="E316" s="2">
        <v>18</v>
      </c>
      <c r="F316" s="2">
        <v>6.3</v>
      </c>
      <c r="G316" s="2">
        <v>0.2</v>
      </c>
      <c r="H316" s="2">
        <v>20.11</v>
      </c>
      <c r="I316" s="2">
        <v>-0.3</v>
      </c>
      <c r="J316" s="2">
        <v>23.8</v>
      </c>
      <c r="K316" s="3">
        <v>4.9091E-4</v>
      </c>
      <c r="L316" s="2">
        <v>2.9914999999999998</v>
      </c>
      <c r="M316" s="3">
        <v>2.0176999999999999E-3</v>
      </c>
      <c r="N316" s="3">
        <v>6.3178999999999999E-8</v>
      </c>
      <c r="O316" s="3">
        <v>9.6296999999999995E-4</v>
      </c>
    </row>
    <row r="317" spans="1:15" ht="15.75">
      <c r="A317" s="2">
        <v>56.1</v>
      </c>
      <c r="B317" s="2">
        <v>3</v>
      </c>
      <c r="C317" s="2">
        <v>20</v>
      </c>
      <c r="D317" s="2">
        <v>7.6</v>
      </c>
      <c r="E317" s="2">
        <v>18</v>
      </c>
      <c r="F317" s="2">
        <v>6.84</v>
      </c>
      <c r="G317" s="2">
        <v>0.2</v>
      </c>
      <c r="H317" s="2">
        <v>20.2</v>
      </c>
      <c r="I317" s="2">
        <v>-0.30299999999999999</v>
      </c>
      <c r="J317" s="2">
        <v>23.283999999999999</v>
      </c>
      <c r="K317" s="3">
        <v>1.3152999999999999E-3</v>
      </c>
      <c r="L317" s="2">
        <v>3.0013000000000001</v>
      </c>
      <c r="M317" s="3">
        <v>2.0114999999999998E-3</v>
      </c>
      <c r="N317" s="3">
        <v>2.4901000000000001E-6</v>
      </c>
      <c r="O317" s="3">
        <v>9.6363000000000004E-4</v>
      </c>
    </row>
    <row r="318" spans="1:15" ht="15.75">
      <c r="A318" s="2">
        <v>58.5</v>
      </c>
      <c r="B318" s="2">
        <v>3</v>
      </c>
      <c r="C318" s="2">
        <v>20</v>
      </c>
      <c r="D318" s="8">
        <v>7</v>
      </c>
      <c r="E318" s="2">
        <v>20</v>
      </c>
      <c r="F318" s="2">
        <v>7</v>
      </c>
      <c r="G318" s="2">
        <v>0.2</v>
      </c>
      <c r="H318" s="2">
        <v>17.2</v>
      </c>
      <c r="I318" s="2">
        <v>-0.30499999999999999</v>
      </c>
      <c r="J318" s="2">
        <v>26.331</v>
      </c>
      <c r="K318" s="3">
        <v>9.4358999999999996E-5</v>
      </c>
      <c r="L318" s="2">
        <v>3.2370000000000001</v>
      </c>
      <c r="M318" s="3">
        <v>2.3671999999999999E-3</v>
      </c>
      <c r="N318" s="3">
        <v>5.9874000000000003E-7</v>
      </c>
      <c r="O318" s="3">
        <v>1.0970000000000001E-3</v>
      </c>
    </row>
    <row r="319" spans="1:15" ht="15.75">
      <c r="A319" s="2">
        <v>58.5</v>
      </c>
      <c r="B319" s="2">
        <v>3</v>
      </c>
      <c r="C319" s="2">
        <v>20</v>
      </c>
      <c r="D319" s="2">
        <v>7</v>
      </c>
      <c r="E319" s="2">
        <v>20</v>
      </c>
      <c r="F319" s="2">
        <v>7.6</v>
      </c>
      <c r="G319" s="2">
        <v>0.2</v>
      </c>
      <c r="H319" s="2">
        <v>17.27</v>
      </c>
      <c r="I319" s="2">
        <v>-0.307</v>
      </c>
      <c r="J319" s="2">
        <v>27.218</v>
      </c>
      <c r="K319" s="3">
        <v>8.7441999999999994E-5</v>
      </c>
      <c r="L319" s="2">
        <v>3.1928999999999998</v>
      </c>
      <c r="M319" s="3">
        <v>2.3609E-3</v>
      </c>
      <c r="N319" s="3">
        <v>1.1736000000000001E-6</v>
      </c>
      <c r="O319" s="3">
        <v>1.0981999999999999E-3</v>
      </c>
    </row>
    <row r="320" spans="1:15" ht="15.75">
      <c r="A320" s="2">
        <v>58.5</v>
      </c>
      <c r="B320" s="2">
        <v>3</v>
      </c>
      <c r="C320" s="2">
        <v>20</v>
      </c>
      <c r="D320" s="2">
        <v>7.6</v>
      </c>
      <c r="E320" s="2">
        <v>20</v>
      </c>
      <c r="F320" s="2">
        <v>7</v>
      </c>
      <c r="G320" s="2">
        <v>0.2</v>
      </c>
      <c r="H320" s="2">
        <v>16.97</v>
      </c>
      <c r="I320" s="2">
        <v>-0.30099999999999999</v>
      </c>
      <c r="J320" s="2">
        <v>27.087</v>
      </c>
      <c r="K320" s="3">
        <v>1.7436E-4</v>
      </c>
      <c r="L320" s="2">
        <v>3.2044000000000001</v>
      </c>
      <c r="M320" s="3">
        <v>2.3985999999999999E-3</v>
      </c>
      <c r="N320" s="3">
        <v>1.2646999999999999E-6</v>
      </c>
      <c r="O320" s="3">
        <v>1.0976E-3</v>
      </c>
    </row>
    <row r="321" spans="1:15" ht="15.75">
      <c r="A321" s="2">
        <v>58.5</v>
      </c>
      <c r="B321" s="2">
        <v>3</v>
      </c>
      <c r="C321" s="2">
        <v>20</v>
      </c>
      <c r="D321" s="2">
        <v>7.6</v>
      </c>
      <c r="E321" s="13">
        <v>20</v>
      </c>
      <c r="F321" s="13">
        <v>7.6</v>
      </c>
      <c r="G321" s="2">
        <v>0.2</v>
      </c>
      <c r="H321" s="2">
        <v>17.05</v>
      </c>
      <c r="I321" s="2">
        <v>-0.30399999999999999</v>
      </c>
      <c r="J321" s="2">
        <v>27.81</v>
      </c>
      <c r="K321" s="3">
        <v>3.7657000000000001E-4</v>
      </c>
      <c r="L321" s="2">
        <v>3.2244999999999999</v>
      </c>
      <c r="M321" s="3">
        <v>2.3911000000000002E-3</v>
      </c>
      <c r="N321" s="3">
        <v>2.7943999999999999E-6</v>
      </c>
      <c r="O321" s="3">
        <v>1.1000999999999999E-3</v>
      </c>
    </row>
    <row r="322" spans="1:15" ht="15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2"/>
      <c r="M322" s="3"/>
      <c r="N322" s="3"/>
      <c r="O322" s="3"/>
    </row>
    <row r="323" spans="1:15" ht="15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2"/>
      <c r="M323" s="3"/>
      <c r="N323" s="3"/>
      <c r="O323" s="3"/>
    </row>
    <row r="324" spans="1:15" ht="15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2"/>
      <c r="M324" s="3"/>
      <c r="N324" s="3"/>
      <c r="O324" s="3"/>
    </row>
    <row r="325" spans="1:15" ht="15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2"/>
      <c r="M325" s="3"/>
      <c r="N325" s="3"/>
      <c r="O325" s="3"/>
    </row>
    <row r="326" spans="1:15" ht="15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2"/>
      <c r="M326" s="3"/>
      <c r="N326" s="3"/>
      <c r="O326" s="3"/>
    </row>
    <row r="327" spans="1:15" ht="15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2"/>
      <c r="M327" s="3"/>
      <c r="N327" s="3"/>
      <c r="O327" s="3"/>
    </row>
    <row r="328" spans="1:15" ht="15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2"/>
      <c r="M328" s="3"/>
      <c r="N328" s="3"/>
      <c r="O328" s="3"/>
    </row>
    <row r="329" spans="1:15" ht="15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2"/>
      <c r="M329" s="3"/>
      <c r="N329" s="3"/>
      <c r="O329" s="3"/>
    </row>
    <row r="330" spans="1:15" ht="15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2"/>
      <c r="M330" s="3"/>
      <c r="N330" s="3"/>
      <c r="O330" s="3"/>
    </row>
    <row r="331" spans="1:15" ht="15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2"/>
      <c r="M331" s="3"/>
      <c r="N331" s="3"/>
      <c r="O331" s="3"/>
    </row>
    <row r="332" spans="1:15" ht="15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2"/>
      <c r="M332" s="3"/>
      <c r="N332" s="3"/>
      <c r="O332" s="3"/>
    </row>
    <row r="333" spans="1:15" ht="15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2"/>
      <c r="M333" s="3"/>
      <c r="N333" s="3"/>
      <c r="O333" s="3"/>
    </row>
    <row r="334" spans="1:15" ht="15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2"/>
      <c r="M334" s="3"/>
      <c r="N334" s="3"/>
      <c r="O334" s="3"/>
    </row>
    <row r="335" spans="1:15" ht="15.75">
      <c r="A335" s="2"/>
      <c r="B335" s="2"/>
      <c r="C335" s="2"/>
      <c r="D335" s="2"/>
      <c r="E335" s="14"/>
      <c r="F335" s="14"/>
      <c r="G335" s="2"/>
      <c r="H335" s="2"/>
      <c r="I335" s="2"/>
      <c r="J335" s="2"/>
      <c r="K335" s="3"/>
      <c r="L335" s="2"/>
      <c r="M335" s="3"/>
      <c r="N335" s="3"/>
      <c r="O335" s="3"/>
    </row>
    <row r="336" spans="1:15" ht="15.75">
      <c r="A336" s="2"/>
      <c r="B336" s="2"/>
      <c r="C336" s="2"/>
      <c r="D336" s="2"/>
      <c r="E336" s="14"/>
      <c r="F336" s="14"/>
      <c r="G336" s="2"/>
      <c r="H336" s="2"/>
      <c r="I336" s="2"/>
      <c r="J336" s="2"/>
      <c r="K336" s="3"/>
      <c r="L336" s="2"/>
      <c r="M336" s="3"/>
      <c r="N336" s="3"/>
      <c r="O336" s="3"/>
    </row>
    <row r="337" spans="1:15" ht="15.75">
      <c r="A337" s="2"/>
      <c r="B337" s="2"/>
      <c r="C337" s="13"/>
      <c r="D337" s="13"/>
      <c r="E337" s="5"/>
      <c r="F337" s="5"/>
      <c r="G337" s="2"/>
      <c r="H337" s="2"/>
      <c r="I337" s="2"/>
      <c r="J337" s="2"/>
      <c r="K337" s="3"/>
      <c r="L337" s="2"/>
      <c r="M337" s="3"/>
      <c r="N337" s="3"/>
      <c r="O337" s="3"/>
    </row>
    <row r="338" spans="1:15" ht="15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2"/>
      <c r="M338" s="3"/>
      <c r="N338" s="3"/>
      <c r="O338" s="3"/>
    </row>
    <row r="339" spans="1:15" ht="15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2"/>
      <c r="M339" s="3"/>
      <c r="N339" s="3"/>
      <c r="O339" s="3"/>
    </row>
    <row r="340" spans="1:15" ht="15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2"/>
      <c r="M340" s="3"/>
      <c r="N340" s="3"/>
      <c r="O340" s="3"/>
    </row>
    <row r="341" spans="1:15" ht="15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2"/>
      <c r="M341" s="3"/>
      <c r="N341" s="3"/>
      <c r="O341" s="3"/>
    </row>
    <row r="342" spans="1:15" ht="15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2"/>
      <c r="M342" s="3"/>
      <c r="N342" s="3"/>
      <c r="O342" s="3"/>
    </row>
    <row r="343" spans="1:15" ht="15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2"/>
      <c r="M343" s="3"/>
      <c r="N343" s="3"/>
      <c r="O343" s="3"/>
    </row>
    <row r="344" spans="1:15" ht="15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2"/>
      <c r="M344" s="3"/>
      <c r="N344" s="3"/>
      <c r="O344" s="3"/>
    </row>
    <row r="345" spans="1:15" ht="15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2"/>
      <c r="M345" s="3"/>
      <c r="N345" s="3"/>
      <c r="O345" s="3"/>
    </row>
    <row r="346" spans="1:15" ht="15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2"/>
      <c r="M346" s="3"/>
      <c r="N346" s="3"/>
      <c r="O346" s="3"/>
    </row>
    <row r="347" spans="1:15" ht="15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2"/>
      <c r="M347" s="3"/>
      <c r="N347" s="3"/>
      <c r="O347" s="3"/>
    </row>
    <row r="348" spans="1:15" ht="15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2"/>
      <c r="M348" s="3"/>
      <c r="N348" s="3"/>
      <c r="O348" s="3"/>
    </row>
    <row r="349" spans="1:15" ht="15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2"/>
      <c r="M349" s="3"/>
      <c r="N349" s="3"/>
      <c r="O349" s="3"/>
    </row>
    <row r="350" spans="1:15" ht="15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2"/>
      <c r="M350" s="3"/>
      <c r="N350" s="3"/>
      <c r="O350" s="3"/>
    </row>
    <row r="351" spans="1:15" ht="15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2"/>
      <c r="M351" s="3"/>
      <c r="N351" s="3"/>
      <c r="O351" s="3"/>
    </row>
    <row r="352" spans="1:15" ht="15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2"/>
      <c r="M352" s="3"/>
      <c r="N352" s="3"/>
      <c r="O352" s="3"/>
    </row>
    <row r="353" spans="1:15" ht="15.75">
      <c r="A353" s="2"/>
      <c r="B353" s="2"/>
      <c r="C353" s="13"/>
      <c r="D353" s="13"/>
      <c r="E353" s="13"/>
      <c r="F353" s="13"/>
      <c r="G353" s="2"/>
      <c r="H353" s="2"/>
      <c r="I353" s="2"/>
      <c r="J353" s="2"/>
      <c r="K353" s="3"/>
      <c r="L353" s="2"/>
      <c r="M353" s="3"/>
      <c r="N353" s="3"/>
      <c r="O353" s="3"/>
    </row>
    <row r="354" spans="1:15" ht="15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2"/>
      <c r="M354" s="3"/>
      <c r="N354" s="3"/>
      <c r="O354" s="3"/>
    </row>
    <row r="355" spans="1:15" ht="15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2"/>
      <c r="M355" s="3"/>
      <c r="N355" s="3"/>
      <c r="O355" s="3"/>
    </row>
    <row r="356" spans="1:15" ht="15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2"/>
      <c r="M356" s="3"/>
      <c r="N356" s="3"/>
      <c r="O356" s="3"/>
    </row>
    <row r="357" spans="1:15" ht="15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2"/>
      <c r="M357" s="3"/>
      <c r="N357" s="3"/>
      <c r="O357" s="3"/>
    </row>
    <row r="358" spans="1:15" ht="15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2"/>
      <c r="M358" s="3"/>
      <c r="N358" s="3"/>
      <c r="O358" s="3"/>
    </row>
    <row r="359" spans="1:15" ht="15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2"/>
      <c r="M359" s="3"/>
      <c r="N359" s="3"/>
      <c r="O359" s="3"/>
    </row>
    <row r="360" spans="1:15" ht="15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2"/>
      <c r="M360" s="3"/>
      <c r="N360" s="3"/>
      <c r="O360" s="3"/>
    </row>
    <row r="361" spans="1:15" ht="15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2"/>
      <c r="M361" s="3"/>
      <c r="N361" s="3"/>
      <c r="O361" s="3"/>
    </row>
    <row r="362" spans="1:15" ht="15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2"/>
      <c r="M362" s="3"/>
      <c r="N362" s="3"/>
      <c r="O362" s="3"/>
    </row>
    <row r="363" spans="1:15" ht="15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2"/>
      <c r="M363" s="3"/>
      <c r="N363" s="3"/>
      <c r="O363" s="3"/>
    </row>
    <row r="364" spans="1:15" ht="15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2"/>
      <c r="M364" s="3"/>
      <c r="N364" s="3"/>
      <c r="O364" s="3"/>
    </row>
    <row r="365" spans="1:15" ht="15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2"/>
      <c r="M365" s="3"/>
      <c r="N365" s="3"/>
      <c r="O365" s="3"/>
    </row>
    <row r="366" spans="1:15" ht="15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2"/>
      <c r="M366" s="3"/>
      <c r="N366" s="3"/>
      <c r="O366" s="3"/>
    </row>
    <row r="367" spans="1:15" ht="15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2"/>
      <c r="M367" s="3"/>
      <c r="N367" s="3"/>
      <c r="O367" s="3"/>
    </row>
    <row r="368" spans="1:15" ht="15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2"/>
      <c r="M368" s="3"/>
      <c r="N368" s="3"/>
      <c r="O368" s="3"/>
    </row>
    <row r="369" spans="1:15" ht="15.75">
      <c r="A369" s="2"/>
      <c r="B369" s="2"/>
      <c r="C369" s="13"/>
      <c r="D369" s="13"/>
      <c r="E369" s="13"/>
      <c r="F369" s="13"/>
      <c r="G369" s="2"/>
      <c r="H369" s="2"/>
      <c r="I369" s="2"/>
      <c r="J369" s="2"/>
      <c r="K369" s="3"/>
      <c r="L369" s="2"/>
      <c r="M369" s="3"/>
      <c r="N369" s="3"/>
      <c r="O369" s="3"/>
    </row>
    <row r="370" spans="1:15" ht="15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2"/>
      <c r="M370" s="3"/>
      <c r="N370" s="3"/>
      <c r="O370" s="3"/>
    </row>
    <row r="371" spans="1:15" ht="15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2"/>
      <c r="M371" s="3"/>
      <c r="N371" s="3"/>
      <c r="O371" s="3"/>
    </row>
    <row r="372" spans="1:15" ht="15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2"/>
      <c r="M372" s="3"/>
      <c r="N372" s="3"/>
      <c r="O372" s="3"/>
    </row>
    <row r="373" spans="1:15" ht="15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2"/>
      <c r="M373" s="3"/>
      <c r="N373" s="3"/>
      <c r="O373" s="3"/>
    </row>
    <row r="374" spans="1:15" ht="15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2"/>
      <c r="M374" s="3"/>
      <c r="N374" s="3"/>
      <c r="O374" s="3"/>
    </row>
    <row r="375" spans="1:15" ht="15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3"/>
      <c r="L375" s="2"/>
      <c r="M375" s="3"/>
      <c r="N375" s="3"/>
      <c r="O375" s="3"/>
    </row>
    <row r="376" spans="1:15" ht="15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3"/>
      <c r="L376" s="2"/>
      <c r="M376" s="3"/>
      <c r="N376" s="3"/>
      <c r="O376" s="3"/>
    </row>
    <row r="377" spans="1:15" ht="15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3"/>
      <c r="L377" s="2"/>
      <c r="M377" s="3"/>
      <c r="N377" s="3"/>
      <c r="O377" s="3"/>
    </row>
    <row r="378" spans="1:15" ht="15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3"/>
      <c r="L378" s="2"/>
      <c r="M378" s="3"/>
      <c r="N378" s="3"/>
      <c r="O378" s="3"/>
    </row>
    <row r="379" spans="1:15" ht="15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3"/>
      <c r="L379" s="2"/>
      <c r="M379" s="3"/>
      <c r="N379" s="3"/>
      <c r="O379" s="3"/>
    </row>
    <row r="380" spans="1:15" ht="15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3"/>
      <c r="L380" s="2"/>
      <c r="M380" s="3"/>
      <c r="N380" s="3"/>
      <c r="O380" s="3"/>
    </row>
    <row r="381" spans="1:15" ht="15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3"/>
      <c r="L381" s="2"/>
      <c r="M381" s="3"/>
      <c r="N381" s="3"/>
      <c r="O381" s="3"/>
    </row>
    <row r="382" spans="1:15" ht="15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3"/>
      <c r="L382" s="2"/>
      <c r="M382" s="3"/>
      <c r="N382" s="3"/>
      <c r="O382" s="3"/>
    </row>
    <row r="383" spans="1:15" ht="15.75">
      <c r="A383" s="2"/>
      <c r="B383" s="2"/>
      <c r="C383" s="2"/>
      <c r="D383" s="2"/>
      <c r="E383" s="14"/>
      <c r="F383" s="14"/>
      <c r="G383" s="2"/>
      <c r="H383" s="2"/>
      <c r="I383" s="2"/>
      <c r="J383" s="2"/>
      <c r="K383" s="3"/>
      <c r="L383" s="2"/>
      <c r="M383" s="3"/>
      <c r="N383" s="3"/>
      <c r="O383" s="3"/>
    </row>
    <row r="384" spans="1:15" ht="15.75">
      <c r="A384" s="2"/>
      <c r="B384" s="2"/>
      <c r="C384" s="2"/>
      <c r="D384" s="2"/>
      <c r="E384" s="14"/>
      <c r="F384" s="14"/>
      <c r="G384" s="2"/>
      <c r="H384" s="2"/>
      <c r="I384" s="2"/>
      <c r="J384" s="2"/>
      <c r="K384" s="3"/>
      <c r="L384" s="2"/>
      <c r="M384" s="3"/>
      <c r="N384" s="3"/>
      <c r="O384" s="3"/>
    </row>
    <row r="385" spans="1:15" ht="15.75">
      <c r="A385" s="2"/>
      <c r="B385" s="2"/>
      <c r="C385" s="13"/>
      <c r="D385" s="13"/>
      <c r="E385" s="5"/>
      <c r="F385" s="5"/>
      <c r="G385" s="2"/>
      <c r="H385" s="2"/>
      <c r="I385" s="2"/>
      <c r="J385" s="2"/>
      <c r="K385" s="3"/>
      <c r="L385" s="2"/>
      <c r="M385" s="3"/>
      <c r="N385" s="3"/>
      <c r="O385" s="3"/>
    </row>
    <row r="386" spans="1:15" ht="15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3"/>
      <c r="L386" s="2"/>
      <c r="M386" s="3"/>
      <c r="N386" s="3"/>
      <c r="O386" s="3"/>
    </row>
    <row r="387" spans="1:15" ht="15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3"/>
      <c r="L387" s="2"/>
      <c r="M387" s="3"/>
      <c r="N387" s="3"/>
      <c r="O387" s="3"/>
    </row>
    <row r="388" spans="1:15" ht="15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3"/>
      <c r="L388" s="2"/>
      <c r="M388" s="3"/>
      <c r="N388" s="3"/>
      <c r="O388" s="3"/>
    </row>
    <row r="389" spans="1:15" ht="15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3"/>
      <c r="L389" s="2"/>
      <c r="M389" s="3"/>
      <c r="N389" s="3"/>
      <c r="O389" s="3"/>
    </row>
    <row r="390" spans="1:15" ht="15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3"/>
      <c r="L390" s="2"/>
      <c r="M390" s="3"/>
      <c r="N390" s="3"/>
      <c r="O390" s="3"/>
    </row>
    <row r="391" spans="1:15" ht="15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3"/>
      <c r="L391" s="2"/>
      <c r="M391" s="3"/>
      <c r="N391" s="3"/>
      <c r="O391" s="3"/>
    </row>
    <row r="392" spans="1:15" ht="15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3"/>
      <c r="L392" s="2"/>
      <c r="M392" s="3"/>
      <c r="N392" s="3"/>
      <c r="O392" s="3"/>
    </row>
    <row r="393" spans="1:15" ht="15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3"/>
      <c r="L393" s="2"/>
      <c r="M393" s="3"/>
      <c r="N393" s="3"/>
      <c r="O393" s="3"/>
    </row>
    <row r="394" spans="1:15" ht="15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3"/>
      <c r="L394" s="2"/>
      <c r="M394" s="3"/>
      <c r="N394" s="3"/>
      <c r="O394" s="3"/>
    </row>
    <row r="395" spans="1:15" ht="15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3"/>
      <c r="L395" s="2"/>
      <c r="M395" s="3"/>
      <c r="N395" s="3"/>
      <c r="O395" s="3"/>
    </row>
    <row r="396" spans="1:15" ht="15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3"/>
      <c r="L396" s="2"/>
      <c r="M396" s="3"/>
      <c r="N396" s="3"/>
      <c r="O396" s="3"/>
    </row>
    <row r="397" spans="1:15" ht="15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3"/>
      <c r="L397" s="2"/>
      <c r="M397" s="3"/>
      <c r="N397" s="3"/>
      <c r="O397" s="3"/>
    </row>
    <row r="398" spans="1:15" ht="15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3"/>
      <c r="L398" s="2"/>
      <c r="M398" s="3"/>
      <c r="N398" s="3"/>
      <c r="O398" s="3"/>
    </row>
    <row r="399" spans="1:15" ht="15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3"/>
      <c r="L399" s="2"/>
      <c r="M399" s="3"/>
      <c r="N399" s="3"/>
      <c r="O399" s="3"/>
    </row>
    <row r="400" spans="1:15" ht="15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3"/>
      <c r="L400" s="2"/>
      <c r="M400" s="3"/>
      <c r="N400" s="3"/>
      <c r="O400" s="3"/>
    </row>
    <row r="401" spans="1:15" ht="15.75">
      <c r="A401" s="2"/>
      <c r="B401" s="2"/>
      <c r="C401" s="13"/>
      <c r="D401" s="13"/>
      <c r="E401" s="13"/>
      <c r="F401" s="13"/>
      <c r="G401" s="2"/>
      <c r="H401" s="2"/>
      <c r="I401" s="2"/>
      <c r="J401" s="2"/>
      <c r="K401" s="3"/>
      <c r="L401" s="2"/>
      <c r="M401" s="3"/>
      <c r="N401" s="3"/>
      <c r="O401" s="3"/>
    </row>
    <row r="402" spans="1:15" ht="15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3"/>
      <c r="L402" s="2"/>
      <c r="M402" s="3"/>
      <c r="N402" s="3"/>
      <c r="O402" s="3"/>
    </row>
    <row r="403" spans="1:15" ht="15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3"/>
      <c r="L403" s="2"/>
      <c r="M403" s="3"/>
      <c r="N403" s="3"/>
      <c r="O403" s="3"/>
    </row>
    <row r="404" spans="1:15" ht="15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3"/>
      <c r="L404" s="2"/>
      <c r="M404" s="3"/>
      <c r="N404" s="3"/>
      <c r="O404" s="3"/>
    </row>
    <row r="405" spans="1:15" ht="15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3"/>
      <c r="L405" s="2"/>
      <c r="M405" s="3"/>
      <c r="N405" s="3"/>
      <c r="O405" s="3"/>
    </row>
    <row r="406" spans="1:15" ht="15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3"/>
      <c r="L406" s="2"/>
      <c r="M406" s="3"/>
      <c r="N406" s="3"/>
      <c r="O406" s="3"/>
    </row>
    <row r="407" spans="1:15" ht="15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3"/>
      <c r="L407" s="2"/>
      <c r="M407" s="3"/>
      <c r="N407" s="3"/>
      <c r="O407" s="3"/>
    </row>
    <row r="408" spans="1:15" ht="15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3"/>
      <c r="L408" s="2"/>
      <c r="M408" s="3"/>
      <c r="N408" s="3"/>
      <c r="O408" s="3"/>
    </row>
    <row r="409" spans="1:15" ht="15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3"/>
      <c r="L409" s="2"/>
      <c r="M409" s="3"/>
      <c r="N409" s="3"/>
      <c r="O409" s="3"/>
    </row>
    <row r="410" spans="1:15" ht="15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3"/>
      <c r="L410" s="2"/>
      <c r="M410" s="3"/>
      <c r="N410" s="3"/>
      <c r="O410" s="3"/>
    </row>
    <row r="411" spans="1:15" ht="15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3"/>
      <c r="L411" s="2"/>
      <c r="M411" s="3"/>
      <c r="N411" s="3"/>
      <c r="O411" s="3"/>
    </row>
    <row r="412" spans="1:15" ht="15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3"/>
      <c r="L412" s="2"/>
      <c r="M412" s="3"/>
      <c r="N412" s="3"/>
      <c r="O412" s="3"/>
    </row>
    <row r="413" spans="1:15" ht="15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3"/>
      <c r="L413" s="2"/>
      <c r="M413" s="3"/>
      <c r="N413" s="3"/>
      <c r="O413" s="3"/>
    </row>
    <row r="414" spans="1:15" ht="15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3"/>
      <c r="L414" s="2"/>
      <c r="M414" s="3"/>
      <c r="N414" s="3"/>
      <c r="O414" s="3"/>
    </row>
    <row r="415" spans="1:15" ht="15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3"/>
      <c r="L415" s="2"/>
      <c r="M415" s="3"/>
      <c r="N415" s="3"/>
      <c r="O415" s="3"/>
    </row>
    <row r="416" spans="1:15" ht="15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3"/>
      <c r="L416" s="2"/>
      <c r="M416" s="3"/>
      <c r="N416" s="3"/>
      <c r="O416" s="3"/>
    </row>
    <row r="417" spans="1:15" ht="15.75">
      <c r="A417" s="2"/>
      <c r="B417" s="2"/>
      <c r="C417" s="2"/>
      <c r="D417" s="2"/>
      <c r="E417" s="13"/>
      <c r="F417" s="13"/>
      <c r="G417" s="2"/>
      <c r="H417" s="2"/>
      <c r="I417" s="2"/>
      <c r="J417" s="2"/>
      <c r="K417" s="3"/>
      <c r="L417" s="2"/>
      <c r="M417" s="3"/>
      <c r="N417" s="3"/>
      <c r="O417" s="3"/>
    </row>
    <row r="418" spans="1:15" ht="15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3"/>
      <c r="L418" s="2"/>
      <c r="M418" s="3"/>
      <c r="N418" s="3"/>
      <c r="O418" s="3"/>
    </row>
    <row r="419" spans="1:15" ht="15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3"/>
      <c r="L419" s="2"/>
      <c r="M419" s="3"/>
      <c r="N419" s="3"/>
      <c r="O419" s="3"/>
    </row>
    <row r="420" spans="1:15" ht="15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3"/>
      <c r="L420" s="2"/>
      <c r="M420" s="3"/>
      <c r="N420" s="3"/>
      <c r="O420" s="3"/>
    </row>
    <row r="421" spans="1:15" ht="15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3"/>
      <c r="L421" s="2"/>
      <c r="M421" s="3"/>
      <c r="N421" s="3"/>
      <c r="O421" s="3"/>
    </row>
    <row r="422" spans="1:15" ht="15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3"/>
      <c r="L422" s="2"/>
      <c r="M422" s="3"/>
      <c r="N422" s="3"/>
      <c r="O422" s="3"/>
    </row>
    <row r="423" spans="1:15" ht="15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3"/>
      <c r="L423" s="2"/>
      <c r="M423" s="3"/>
      <c r="N423" s="3"/>
      <c r="O423" s="3"/>
    </row>
    <row r="424" spans="1:15" ht="15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3"/>
      <c r="L424" s="2"/>
      <c r="M424" s="3"/>
      <c r="N424" s="3"/>
      <c r="O424" s="3"/>
    </row>
    <row r="425" spans="1:15" ht="15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3"/>
      <c r="L425" s="2"/>
      <c r="M425" s="3"/>
      <c r="N425" s="3"/>
      <c r="O425" s="3"/>
    </row>
    <row r="426" spans="1:15" ht="15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3"/>
      <c r="L426" s="2"/>
      <c r="M426" s="3"/>
      <c r="N426" s="3"/>
      <c r="O426" s="3"/>
    </row>
    <row r="427" spans="1:15" ht="15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3"/>
      <c r="L427" s="2"/>
      <c r="M427" s="3"/>
      <c r="N427" s="3"/>
      <c r="O427" s="3"/>
    </row>
    <row r="428" spans="1:15" ht="15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3"/>
      <c r="L428" s="2"/>
      <c r="M428" s="3"/>
      <c r="N428" s="3"/>
      <c r="O428" s="3"/>
    </row>
    <row r="429" spans="1:15" ht="15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3"/>
      <c r="L429" s="2"/>
      <c r="M429" s="3"/>
      <c r="N429" s="3"/>
      <c r="O429" s="3"/>
    </row>
    <row r="430" spans="1:15" ht="15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3"/>
      <c r="L430" s="2"/>
      <c r="M430" s="3"/>
      <c r="N430" s="3"/>
      <c r="O430" s="3"/>
    </row>
    <row r="431" spans="1:15" ht="15.75">
      <c r="A431" s="2"/>
      <c r="B431" s="2"/>
      <c r="C431" s="2"/>
      <c r="D431" s="2"/>
      <c r="E431" s="14"/>
      <c r="F431" s="14"/>
      <c r="G431" s="2"/>
      <c r="H431" s="2"/>
      <c r="I431" s="2"/>
      <c r="J431" s="2"/>
      <c r="K431" s="3"/>
      <c r="L431" s="2"/>
      <c r="M431" s="3"/>
      <c r="N431" s="3"/>
      <c r="O431" s="3"/>
    </row>
    <row r="432" spans="1:15" ht="15.75">
      <c r="A432" s="2"/>
      <c r="B432" s="2"/>
      <c r="C432" s="2"/>
      <c r="D432" s="2"/>
      <c r="E432" s="14"/>
      <c r="F432" s="14"/>
      <c r="G432" s="2"/>
      <c r="H432" s="2"/>
      <c r="I432" s="2"/>
      <c r="J432" s="2"/>
      <c r="K432" s="3"/>
      <c r="L432" s="2"/>
      <c r="M432" s="3"/>
      <c r="N432" s="3"/>
      <c r="O432" s="3"/>
    </row>
    <row r="433" spans="1:15" ht="15.75">
      <c r="A433" s="2"/>
      <c r="B433" s="2"/>
      <c r="C433" s="2"/>
      <c r="D433" s="2"/>
      <c r="E433" s="5"/>
      <c r="F433" s="5"/>
      <c r="G433" s="2"/>
      <c r="H433" s="2"/>
      <c r="I433" s="2"/>
      <c r="J433" s="2"/>
      <c r="K433" s="3"/>
      <c r="L433" s="2"/>
      <c r="M433" s="3"/>
      <c r="N433" s="3"/>
      <c r="O433" s="3"/>
    </row>
    <row r="434" spans="1:15" ht="15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3"/>
      <c r="L434" s="2"/>
      <c r="M434" s="3"/>
      <c r="N434" s="3"/>
      <c r="O434" s="3"/>
    </row>
    <row r="435" spans="1:15" ht="15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3"/>
      <c r="L435" s="2"/>
      <c r="M435" s="3"/>
      <c r="N435" s="3"/>
      <c r="O435" s="3"/>
    </row>
    <row r="436" spans="1:15" ht="15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3"/>
      <c r="L436" s="2"/>
      <c r="M436" s="3"/>
      <c r="N436" s="3"/>
      <c r="O436" s="3"/>
    </row>
    <row r="437" spans="1:15" ht="15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3"/>
      <c r="L437" s="2"/>
      <c r="M437" s="3"/>
      <c r="N437" s="3"/>
      <c r="O437" s="3"/>
    </row>
    <row r="438" spans="1:15" ht="15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3"/>
      <c r="L438" s="2"/>
      <c r="M438" s="3"/>
      <c r="N438" s="3"/>
      <c r="O438" s="3"/>
    </row>
    <row r="439" spans="1:15" ht="15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3"/>
      <c r="L439" s="2"/>
      <c r="M439" s="3"/>
      <c r="N439" s="3"/>
      <c r="O439" s="3"/>
    </row>
    <row r="440" spans="1:15" ht="15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3"/>
      <c r="L440" s="2"/>
      <c r="M440" s="3"/>
      <c r="N440" s="3"/>
      <c r="O440" s="3"/>
    </row>
    <row r="441" spans="1:15" ht="15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3"/>
      <c r="L441" s="2"/>
      <c r="M441" s="3"/>
      <c r="N441" s="3"/>
      <c r="O441" s="3"/>
    </row>
    <row r="442" spans="1:15" ht="15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3"/>
      <c r="L442" s="2"/>
      <c r="M442" s="3"/>
      <c r="N442" s="3"/>
      <c r="O442" s="3"/>
    </row>
    <row r="443" spans="1:15" ht="15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3"/>
      <c r="L443" s="2"/>
      <c r="M443" s="3"/>
      <c r="N443" s="3"/>
      <c r="O443" s="3"/>
    </row>
    <row r="444" spans="1:15" ht="15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3"/>
      <c r="L444" s="2"/>
      <c r="M444" s="3"/>
      <c r="N444" s="3"/>
      <c r="O444" s="3"/>
    </row>
    <row r="445" spans="1:15" ht="15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3"/>
      <c r="L445" s="2"/>
      <c r="M445" s="3"/>
      <c r="N445" s="3"/>
      <c r="O445" s="3"/>
    </row>
    <row r="446" spans="1:15" ht="15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3"/>
      <c r="L446" s="2"/>
      <c r="M446" s="3"/>
      <c r="N446" s="3"/>
      <c r="O446" s="3"/>
    </row>
    <row r="447" spans="1:15" ht="15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3"/>
      <c r="L447" s="2"/>
      <c r="M447" s="3"/>
      <c r="N447" s="3"/>
      <c r="O447" s="3"/>
    </row>
    <row r="448" spans="1:15" ht="15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3"/>
      <c r="L448" s="2"/>
      <c r="M448" s="3"/>
      <c r="N448" s="3"/>
      <c r="O448" s="3"/>
    </row>
    <row r="449" spans="1:15" ht="15.75">
      <c r="A449" s="2"/>
      <c r="B449" s="2"/>
      <c r="C449" s="2"/>
      <c r="D449" s="2"/>
      <c r="E449" s="13"/>
      <c r="F449" s="13"/>
      <c r="G449" s="2"/>
      <c r="H449" s="2"/>
      <c r="I449" s="2"/>
      <c r="J449" s="2"/>
      <c r="K449" s="3"/>
      <c r="L449" s="2"/>
      <c r="M449" s="3"/>
      <c r="N449" s="3"/>
      <c r="O449" s="3"/>
    </row>
    <row r="450" spans="1:15" ht="15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3"/>
      <c r="L450" s="2"/>
      <c r="M450" s="3"/>
      <c r="N450" s="3"/>
      <c r="O450" s="3"/>
    </row>
    <row r="451" spans="1:15" ht="15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3"/>
      <c r="L451" s="2"/>
      <c r="M451" s="3"/>
      <c r="N451" s="3"/>
      <c r="O451" s="3"/>
    </row>
    <row r="452" spans="1:15" ht="15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3"/>
      <c r="L452" s="2"/>
      <c r="M452" s="3"/>
      <c r="N452" s="3"/>
      <c r="O452" s="3"/>
    </row>
    <row r="453" spans="1:15" ht="15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3"/>
      <c r="L453" s="2"/>
      <c r="M453" s="3"/>
      <c r="N453" s="3"/>
      <c r="O453" s="3"/>
    </row>
    <row r="454" spans="1:15" ht="15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3"/>
      <c r="L454" s="2"/>
      <c r="M454" s="3"/>
      <c r="N454" s="3"/>
      <c r="O454" s="3"/>
    </row>
    <row r="455" spans="1:15" ht="15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3"/>
      <c r="L455" s="2"/>
      <c r="M455" s="3"/>
      <c r="N455" s="3"/>
      <c r="O455" s="3"/>
    </row>
    <row r="456" spans="1:15" ht="15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3"/>
      <c r="L456" s="2"/>
      <c r="M456" s="3"/>
      <c r="N456" s="3"/>
      <c r="O456" s="3"/>
    </row>
    <row r="457" spans="1:15" ht="15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3"/>
      <c r="L457" s="2"/>
      <c r="M457" s="3"/>
      <c r="N457" s="3"/>
      <c r="O457" s="3"/>
    </row>
    <row r="458" spans="1:15" ht="15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3"/>
      <c r="L458" s="2"/>
      <c r="M458" s="3"/>
      <c r="N458" s="3"/>
      <c r="O458" s="3"/>
    </row>
    <row r="459" spans="1:15" ht="15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3"/>
      <c r="L459" s="2"/>
      <c r="M459" s="3"/>
      <c r="N459" s="3"/>
      <c r="O459" s="3"/>
    </row>
    <row r="460" spans="1:15" ht="15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3"/>
      <c r="L460" s="2"/>
      <c r="M460" s="3"/>
      <c r="N460" s="3"/>
      <c r="O460" s="3"/>
    </row>
    <row r="461" spans="1:15" ht="15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3"/>
      <c r="L461" s="2"/>
      <c r="M461" s="3"/>
      <c r="N461" s="3"/>
      <c r="O461" s="3"/>
    </row>
    <row r="462" spans="1:15" ht="15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3"/>
      <c r="L462" s="2"/>
      <c r="M462" s="3"/>
      <c r="N462" s="3"/>
      <c r="O462" s="3"/>
    </row>
    <row r="463" spans="1:15" ht="15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3"/>
      <c r="L463" s="2"/>
      <c r="M463" s="3"/>
      <c r="N463" s="3"/>
      <c r="O463" s="3"/>
    </row>
    <row r="464" spans="1:15" ht="15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3"/>
      <c r="L464" s="2"/>
      <c r="M464" s="3"/>
      <c r="N464" s="3"/>
      <c r="O464" s="3"/>
    </row>
    <row r="465" spans="1:15" ht="15.75">
      <c r="A465" s="2"/>
      <c r="B465" s="2"/>
      <c r="C465" s="2"/>
      <c r="D465" s="2"/>
      <c r="E465" s="13"/>
      <c r="F465" s="13"/>
      <c r="G465" s="2"/>
      <c r="H465" s="2"/>
      <c r="I465" s="2"/>
      <c r="J465" s="2"/>
      <c r="K465" s="3"/>
      <c r="L465" s="2"/>
      <c r="M465" s="3"/>
      <c r="N465" s="3"/>
      <c r="O465" s="3"/>
    </row>
    <row r="466" spans="1:15" ht="15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3"/>
      <c r="L466" s="2"/>
      <c r="M466" s="3"/>
      <c r="N466" s="3"/>
      <c r="O466" s="3"/>
    </row>
    <row r="467" spans="1:15" ht="15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3"/>
      <c r="L467" s="2"/>
      <c r="M467" s="3"/>
      <c r="N467" s="3"/>
      <c r="O467" s="3"/>
    </row>
    <row r="468" spans="1:15" ht="15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3"/>
      <c r="L468" s="2"/>
      <c r="M468" s="3"/>
      <c r="N468" s="3"/>
      <c r="O468" s="3"/>
    </row>
    <row r="469" spans="1:15" ht="15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3"/>
      <c r="L469" s="2"/>
      <c r="M469" s="3"/>
      <c r="N469" s="3"/>
      <c r="O469" s="3"/>
    </row>
    <row r="470" spans="1:15" ht="15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3"/>
      <c r="L470" s="2"/>
      <c r="M470" s="3"/>
      <c r="N470" s="3"/>
      <c r="O470" s="3"/>
    </row>
    <row r="471" spans="1:15" ht="15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3"/>
      <c r="L471" s="2"/>
      <c r="M471" s="3"/>
      <c r="N471" s="3"/>
      <c r="O471" s="3"/>
    </row>
    <row r="472" spans="1:15" ht="15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3"/>
      <c r="L472" s="2"/>
      <c r="M472" s="3"/>
      <c r="N472" s="3"/>
      <c r="O472" s="3"/>
    </row>
    <row r="473" spans="1:15" ht="15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3"/>
      <c r="L473" s="2"/>
      <c r="M473" s="3"/>
      <c r="N473" s="3"/>
      <c r="O473" s="3"/>
    </row>
    <row r="474" spans="1:15" ht="15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3"/>
      <c r="L474" s="2"/>
      <c r="M474" s="3"/>
      <c r="N474" s="3"/>
      <c r="O474" s="3"/>
    </row>
    <row r="475" spans="1:15" ht="15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3"/>
      <c r="L475" s="2"/>
      <c r="M475" s="3"/>
      <c r="N475" s="3"/>
      <c r="O475" s="3"/>
    </row>
    <row r="476" spans="1:15" ht="15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3"/>
      <c r="L476" s="2"/>
      <c r="M476" s="3"/>
      <c r="N476" s="3"/>
      <c r="O476" s="3"/>
    </row>
    <row r="477" spans="1:15" ht="15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3"/>
      <c r="L477" s="2"/>
      <c r="M477" s="3"/>
      <c r="N477" s="3"/>
      <c r="O477" s="3"/>
    </row>
    <row r="478" spans="1:15" ht="15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3"/>
      <c r="L478" s="2"/>
      <c r="M478" s="3"/>
      <c r="N478" s="3"/>
      <c r="O478" s="3"/>
    </row>
    <row r="479" spans="1:15" ht="15.75">
      <c r="A479" s="2"/>
      <c r="B479" s="2"/>
      <c r="C479" s="2"/>
      <c r="D479" s="2"/>
      <c r="E479" s="14"/>
      <c r="F479" s="14"/>
      <c r="G479" s="2"/>
      <c r="H479" s="2"/>
      <c r="I479" s="2"/>
      <c r="J479" s="2"/>
      <c r="K479" s="3"/>
      <c r="L479" s="2"/>
      <c r="M479" s="3"/>
      <c r="N479" s="3"/>
      <c r="O479" s="3"/>
    </row>
    <row r="480" spans="1:15" ht="15.75">
      <c r="A480" s="2"/>
      <c r="B480" s="2"/>
      <c r="C480" s="2"/>
      <c r="D480" s="2"/>
      <c r="E480" s="14"/>
      <c r="F480" s="14"/>
      <c r="G480" s="2"/>
      <c r="H480" s="2"/>
      <c r="I480" s="2"/>
      <c r="J480" s="2"/>
      <c r="K480" s="3"/>
      <c r="L480" s="2"/>
      <c r="M480" s="3"/>
      <c r="N480" s="3"/>
      <c r="O480" s="3"/>
    </row>
    <row r="481" spans="1:15" ht="15.75">
      <c r="A481" s="2"/>
      <c r="B481" s="2"/>
      <c r="C481" s="2"/>
      <c r="D481" s="2"/>
      <c r="E481" s="5"/>
      <c r="F481" s="5"/>
      <c r="G481" s="2"/>
      <c r="H481" s="2"/>
      <c r="I481" s="2"/>
      <c r="J481" s="2"/>
      <c r="K481" s="3"/>
      <c r="L481" s="2"/>
      <c r="M481" s="3"/>
      <c r="N481" s="3"/>
      <c r="O481" s="3"/>
    </row>
    <row r="482" spans="1:15" ht="15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3"/>
      <c r="L482" s="2"/>
      <c r="M482" s="3"/>
      <c r="N482" s="3"/>
      <c r="O482" s="3"/>
    </row>
    <row r="483" spans="1:15" ht="15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3"/>
      <c r="L483" s="2"/>
      <c r="M483" s="3"/>
      <c r="N483" s="3"/>
      <c r="O483" s="3"/>
    </row>
    <row r="484" spans="1:15" ht="15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3"/>
      <c r="L484" s="2"/>
      <c r="M484" s="3"/>
      <c r="N484" s="3"/>
      <c r="O484" s="3"/>
    </row>
    <row r="485" spans="1:15" ht="15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3"/>
      <c r="L485" s="2"/>
      <c r="M485" s="3"/>
      <c r="N485" s="3"/>
      <c r="O485" s="3"/>
    </row>
    <row r="486" spans="1:15" ht="15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3"/>
      <c r="L486" s="2"/>
      <c r="M486" s="3"/>
      <c r="N486" s="3"/>
      <c r="O486" s="3"/>
    </row>
    <row r="487" spans="1:15" ht="15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3"/>
      <c r="L487" s="2"/>
      <c r="M487" s="3"/>
      <c r="N487" s="3"/>
      <c r="O487" s="3"/>
    </row>
    <row r="488" spans="1:15" ht="15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3"/>
      <c r="L488" s="2"/>
      <c r="M488" s="3"/>
      <c r="N488" s="3"/>
      <c r="O488" s="3"/>
    </row>
    <row r="489" spans="1:15" ht="15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3"/>
      <c r="L489" s="2"/>
      <c r="M489" s="3"/>
      <c r="N489" s="3"/>
      <c r="O489" s="3"/>
    </row>
    <row r="490" spans="1:15" ht="15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3"/>
      <c r="L490" s="2"/>
      <c r="M490" s="3"/>
      <c r="N490" s="3"/>
      <c r="O490" s="3"/>
    </row>
    <row r="491" spans="1:15" ht="15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3"/>
      <c r="L491" s="2"/>
      <c r="M491" s="3"/>
      <c r="N491" s="3"/>
      <c r="O491" s="3"/>
    </row>
    <row r="492" spans="1:15" ht="15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3"/>
      <c r="L492" s="2"/>
      <c r="M492" s="3"/>
      <c r="N492" s="3"/>
      <c r="O492" s="3"/>
    </row>
    <row r="493" spans="1:15" ht="15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3"/>
      <c r="L493" s="2"/>
      <c r="M493" s="3"/>
      <c r="N493" s="3"/>
      <c r="O493" s="3"/>
    </row>
    <row r="494" spans="1:15" ht="15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3"/>
      <c r="L494" s="2"/>
      <c r="M494" s="3"/>
      <c r="N494" s="3"/>
      <c r="O494" s="3"/>
    </row>
    <row r="495" spans="1:15" ht="15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3"/>
      <c r="L495" s="2"/>
      <c r="M495" s="3"/>
      <c r="N495" s="3"/>
      <c r="O495" s="3"/>
    </row>
    <row r="496" spans="1:15" ht="15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3"/>
      <c r="L496" s="2"/>
      <c r="M496" s="3"/>
      <c r="N496" s="3"/>
      <c r="O496" s="3"/>
    </row>
    <row r="497" spans="1:15" ht="15.75">
      <c r="A497" s="2"/>
      <c r="B497" s="2"/>
      <c r="C497" s="2"/>
      <c r="D497" s="2"/>
      <c r="E497" s="13"/>
      <c r="F497" s="13"/>
      <c r="G497" s="2"/>
      <c r="H497" s="2"/>
      <c r="I497" s="2"/>
      <c r="J497" s="2"/>
      <c r="K497" s="3"/>
      <c r="L497" s="2"/>
      <c r="M497" s="3"/>
      <c r="N497" s="3"/>
      <c r="O497" s="3"/>
    </row>
    <row r="498" spans="1:15" ht="15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3"/>
      <c r="L498" s="2"/>
      <c r="M498" s="3"/>
      <c r="N498" s="3"/>
      <c r="O498" s="3"/>
    </row>
    <row r="499" spans="1:15" ht="15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2"/>
      <c r="M499" s="3"/>
      <c r="N499" s="3"/>
      <c r="O499" s="3"/>
    </row>
    <row r="500" spans="1:15" ht="15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2"/>
      <c r="M500" s="3"/>
      <c r="N500" s="3"/>
      <c r="O500" s="3"/>
    </row>
    <row r="501" spans="1:15" ht="15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3"/>
      <c r="L501" s="2"/>
      <c r="M501" s="3"/>
      <c r="N501" s="3"/>
      <c r="O501" s="3"/>
    </row>
    <row r="502" spans="1:15" ht="15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3"/>
      <c r="L502" s="2"/>
      <c r="M502" s="3"/>
      <c r="N502" s="3"/>
      <c r="O502" s="3"/>
    </row>
    <row r="503" spans="1:15" ht="15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3"/>
      <c r="L503" s="2"/>
      <c r="M503" s="3"/>
      <c r="N503" s="3"/>
      <c r="O503" s="3"/>
    </row>
    <row r="504" spans="1:15" ht="15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3"/>
      <c r="L504" s="2"/>
      <c r="M504" s="3"/>
      <c r="N504" s="3"/>
      <c r="O504" s="3"/>
    </row>
    <row r="505" spans="1:15" ht="15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3"/>
      <c r="L505" s="2"/>
      <c r="M505" s="3"/>
      <c r="N505" s="3"/>
      <c r="O505" s="3"/>
    </row>
    <row r="506" spans="1:15" ht="15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3"/>
      <c r="L506" s="2"/>
      <c r="M506" s="3"/>
      <c r="N506" s="3"/>
      <c r="O506" s="3"/>
    </row>
    <row r="507" spans="1:15" ht="15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3"/>
      <c r="L507" s="2"/>
      <c r="M507" s="3"/>
      <c r="N507" s="3"/>
      <c r="O507" s="3"/>
    </row>
    <row r="508" spans="1:15" ht="15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3"/>
      <c r="L508" s="2"/>
      <c r="M508" s="3"/>
      <c r="N508" s="3"/>
      <c r="O508" s="3"/>
    </row>
    <row r="509" spans="1:15" ht="15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3"/>
      <c r="L509" s="2"/>
      <c r="M509" s="3"/>
      <c r="N509" s="3"/>
      <c r="O509" s="3"/>
    </row>
    <row r="510" spans="1:15" ht="15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3"/>
      <c r="L510" s="2"/>
      <c r="M510" s="3"/>
      <c r="N510" s="3"/>
      <c r="O510" s="3"/>
    </row>
    <row r="511" spans="1:15" ht="15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3"/>
      <c r="L511" s="2"/>
      <c r="M511" s="3"/>
      <c r="N511" s="3"/>
      <c r="O511" s="3"/>
    </row>
    <row r="512" spans="1:15" ht="15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3"/>
      <c r="L512" s="3"/>
      <c r="M512" s="3"/>
      <c r="N512" s="3"/>
      <c r="O512" s="3"/>
    </row>
    <row r="513" spans="1:15" ht="15.75">
      <c r="A513" s="2"/>
      <c r="B513" s="2"/>
      <c r="C513" s="2"/>
      <c r="D513" s="2"/>
      <c r="E513" s="13"/>
      <c r="F513" s="13"/>
      <c r="G513" s="2"/>
      <c r="H513" s="2"/>
      <c r="I513" s="2"/>
      <c r="J513" s="2"/>
      <c r="K513" s="3"/>
      <c r="L513" s="2"/>
      <c r="M513" s="3"/>
      <c r="N513" s="3"/>
      <c r="O513" s="3"/>
    </row>
    <row r="514" spans="1:15" ht="15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3"/>
      <c r="L514" s="2"/>
      <c r="M514" s="3"/>
      <c r="N514" s="3"/>
      <c r="O514" s="3"/>
    </row>
    <row r="515" spans="1:15" ht="15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3"/>
      <c r="L515" s="2"/>
      <c r="M515" s="3"/>
      <c r="N515" s="3"/>
      <c r="O515" s="3"/>
    </row>
    <row r="516" spans="1:15" ht="15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3"/>
      <c r="L516" s="2"/>
      <c r="M516" s="3"/>
      <c r="N516" s="3"/>
      <c r="O516" s="3"/>
    </row>
    <row r="517" spans="1:15" ht="15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3"/>
      <c r="L517" s="2"/>
      <c r="M517" s="3"/>
      <c r="N517" s="3"/>
      <c r="O517" s="3"/>
    </row>
    <row r="518" spans="1:15" ht="15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3"/>
      <c r="L518" s="2"/>
      <c r="M518" s="3"/>
      <c r="N518" s="3"/>
      <c r="O518" s="3"/>
    </row>
    <row r="519" spans="1:15" ht="15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3"/>
      <c r="L519" s="2"/>
      <c r="M519" s="3"/>
      <c r="N519" s="3"/>
      <c r="O519" s="3"/>
    </row>
    <row r="520" spans="1:15" ht="15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3"/>
      <c r="L520" s="2"/>
      <c r="M520" s="3"/>
      <c r="N520" s="3"/>
      <c r="O520" s="3"/>
    </row>
    <row r="521" spans="1:15" ht="15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3"/>
      <c r="L521" s="2"/>
      <c r="M521" s="3"/>
      <c r="N521" s="3"/>
      <c r="O521" s="3"/>
    </row>
    <row r="522" spans="1:15" ht="15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3"/>
      <c r="L522" s="2"/>
      <c r="M522" s="3"/>
      <c r="N522" s="3"/>
      <c r="O522" s="3"/>
    </row>
    <row r="523" spans="1:15" ht="15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3"/>
      <c r="L523" s="2"/>
      <c r="M523" s="3"/>
      <c r="N523" s="3"/>
      <c r="O523" s="3"/>
    </row>
    <row r="524" spans="1:15" ht="15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3"/>
      <c r="L524" s="2"/>
      <c r="M524" s="3"/>
      <c r="N524" s="3"/>
      <c r="O524" s="3"/>
    </row>
    <row r="525" spans="1:15" ht="15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3"/>
      <c r="L525" s="2"/>
      <c r="M525" s="3"/>
      <c r="N525" s="3"/>
      <c r="O525" s="3"/>
    </row>
    <row r="526" spans="1:15" ht="15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3"/>
      <c r="L526" s="2"/>
      <c r="M526" s="3"/>
      <c r="N526" s="3"/>
      <c r="O526" s="3"/>
    </row>
    <row r="527" spans="1:15" ht="15.75">
      <c r="A527" s="2"/>
      <c r="B527" s="2"/>
      <c r="C527" s="2"/>
      <c r="D527" s="2"/>
      <c r="E527" s="14"/>
      <c r="F527" s="14"/>
      <c r="G527" s="2"/>
      <c r="H527" s="2"/>
      <c r="I527" s="2"/>
      <c r="J527" s="2"/>
      <c r="K527" s="3"/>
      <c r="L527" s="2"/>
      <c r="M527" s="3"/>
      <c r="N527" s="3"/>
      <c r="O527" s="3"/>
    </row>
    <row r="528" spans="1:15" ht="15.75">
      <c r="A528" s="2"/>
      <c r="B528" s="2"/>
      <c r="C528" s="2"/>
      <c r="D528" s="2"/>
      <c r="E528" s="14"/>
      <c r="F528" s="14"/>
      <c r="G528" s="2"/>
      <c r="H528" s="2"/>
      <c r="I528" s="2"/>
      <c r="J528" s="2"/>
      <c r="K528" s="3"/>
      <c r="L528" s="2"/>
      <c r="M528" s="3"/>
      <c r="N528" s="3"/>
      <c r="O528" s="3"/>
    </row>
    <row r="529" spans="1:15" ht="15.75">
      <c r="A529" s="2"/>
      <c r="B529" s="2"/>
      <c r="C529" s="2"/>
      <c r="D529" s="2"/>
      <c r="E529" s="5"/>
      <c r="F529" s="5"/>
      <c r="G529" s="2"/>
      <c r="H529" s="2"/>
      <c r="I529" s="2"/>
      <c r="J529" s="2"/>
      <c r="K529" s="3"/>
      <c r="L529" s="2"/>
      <c r="M529" s="3"/>
      <c r="N529" s="3"/>
      <c r="O529" s="3"/>
    </row>
    <row r="530" spans="1:15" ht="15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3"/>
      <c r="L530" s="2"/>
      <c r="M530" s="3"/>
      <c r="N530" s="3"/>
      <c r="O530" s="3"/>
    </row>
    <row r="531" spans="1:15" ht="15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3"/>
      <c r="L531" s="2"/>
      <c r="M531" s="3"/>
      <c r="N531" s="3"/>
      <c r="O531" s="3"/>
    </row>
    <row r="532" spans="1:15" ht="15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3"/>
      <c r="L532" s="2"/>
      <c r="M532" s="3"/>
      <c r="N532" s="3"/>
      <c r="O532" s="3"/>
    </row>
    <row r="533" spans="1:15" ht="15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3"/>
      <c r="L533" s="2"/>
      <c r="M533" s="3"/>
      <c r="N533" s="3"/>
      <c r="O533" s="3"/>
    </row>
    <row r="534" spans="1:15" ht="15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3"/>
      <c r="L534" s="2"/>
      <c r="M534" s="3"/>
      <c r="N534" s="3"/>
      <c r="O534" s="3"/>
    </row>
    <row r="535" spans="1:15" ht="15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3"/>
      <c r="L535" s="2"/>
      <c r="M535" s="3"/>
      <c r="N535" s="3"/>
      <c r="O535" s="3"/>
    </row>
    <row r="536" spans="1:15" ht="15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3"/>
      <c r="L536" s="2"/>
      <c r="M536" s="3"/>
      <c r="N536" s="3"/>
      <c r="O536" s="3"/>
    </row>
    <row r="537" spans="1:15" ht="15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3"/>
      <c r="L537" s="2"/>
      <c r="M537" s="3"/>
      <c r="N537" s="3"/>
      <c r="O537" s="3"/>
    </row>
    <row r="538" spans="1:15" ht="15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3"/>
      <c r="L538" s="2"/>
      <c r="M538" s="3"/>
      <c r="N538" s="3"/>
      <c r="O538" s="3"/>
    </row>
    <row r="539" spans="1:15" ht="15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3"/>
      <c r="L539" s="2"/>
      <c r="M539" s="3"/>
      <c r="N539" s="3"/>
      <c r="O539" s="3"/>
    </row>
    <row r="540" spans="1:15" ht="15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3"/>
      <c r="L540" s="2"/>
      <c r="M540" s="3"/>
      <c r="N540" s="3"/>
      <c r="O540" s="3"/>
    </row>
    <row r="541" spans="1:15" ht="15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3"/>
      <c r="L541" s="2"/>
      <c r="M541" s="3"/>
      <c r="N541" s="3"/>
      <c r="O541" s="3"/>
    </row>
    <row r="542" spans="1:15" ht="15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3"/>
      <c r="L542" s="2"/>
      <c r="M542" s="3"/>
      <c r="N542" s="3"/>
      <c r="O542" s="3"/>
    </row>
    <row r="543" spans="1:15" ht="15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3"/>
      <c r="L543" s="2"/>
      <c r="M543" s="3"/>
      <c r="N543" s="3"/>
      <c r="O543" s="3"/>
    </row>
    <row r="544" spans="1:15" ht="15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3"/>
      <c r="L544" s="2"/>
      <c r="M544" s="3"/>
      <c r="N544" s="3"/>
      <c r="O544" s="3"/>
    </row>
    <row r="545" spans="1:15" ht="15.75">
      <c r="A545" s="2"/>
      <c r="B545" s="2"/>
      <c r="C545" s="2"/>
      <c r="D545" s="2"/>
      <c r="E545" s="13"/>
      <c r="F545" s="13"/>
      <c r="G545" s="2"/>
      <c r="H545" s="2"/>
      <c r="I545" s="2"/>
      <c r="J545" s="2"/>
      <c r="K545" s="3"/>
      <c r="L545" s="2"/>
      <c r="M545" s="3"/>
      <c r="N545" s="3"/>
      <c r="O545" s="3"/>
    </row>
    <row r="546" spans="1:15" ht="15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3"/>
      <c r="L546" s="2"/>
      <c r="M546" s="3"/>
      <c r="N546" s="3"/>
      <c r="O546" s="3"/>
    </row>
    <row r="547" spans="1:15" ht="15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3"/>
      <c r="L547" s="2"/>
      <c r="M547" s="3"/>
      <c r="N547" s="3"/>
      <c r="O547" s="3"/>
    </row>
    <row r="548" spans="1:15" ht="15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3"/>
      <c r="L548" s="2"/>
      <c r="M548" s="3"/>
      <c r="N548" s="3"/>
      <c r="O548" s="3"/>
    </row>
    <row r="549" spans="1:15" ht="15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3"/>
      <c r="L549" s="2"/>
      <c r="M549" s="3"/>
      <c r="N549" s="3"/>
      <c r="O549" s="3"/>
    </row>
    <row r="550" spans="1:15" ht="15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3"/>
      <c r="L550" s="2"/>
      <c r="M550" s="3"/>
      <c r="N550" s="3"/>
      <c r="O550" s="3"/>
    </row>
    <row r="551" spans="1:15" ht="15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3"/>
      <c r="L551" s="2"/>
      <c r="M551" s="3"/>
      <c r="N551" s="3"/>
      <c r="O551" s="3"/>
    </row>
    <row r="552" spans="1:15" ht="15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3"/>
      <c r="L552" s="2"/>
      <c r="M552" s="3"/>
      <c r="N552" s="3"/>
      <c r="O552" s="3"/>
    </row>
    <row r="553" spans="1:15" ht="15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3"/>
      <c r="L553" s="2"/>
      <c r="M553" s="3"/>
      <c r="N553" s="3"/>
      <c r="O553" s="3"/>
    </row>
    <row r="554" spans="1:15" ht="15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3"/>
      <c r="L554" s="2"/>
      <c r="M554" s="3"/>
      <c r="N554" s="3"/>
      <c r="O554" s="3"/>
    </row>
    <row r="555" spans="1:15" ht="15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3"/>
      <c r="L555" s="2"/>
      <c r="M555" s="3"/>
      <c r="N555" s="3"/>
      <c r="O555" s="3"/>
    </row>
    <row r="556" spans="1:15" ht="15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3"/>
      <c r="L556" s="2"/>
      <c r="M556" s="3"/>
      <c r="N556" s="3"/>
      <c r="O556" s="3"/>
    </row>
    <row r="557" spans="1:15" ht="15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3"/>
      <c r="L557" s="2"/>
      <c r="M557" s="3"/>
      <c r="N557" s="3"/>
      <c r="O557" s="3"/>
    </row>
    <row r="558" spans="1:15" ht="15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3"/>
      <c r="L558" s="2"/>
      <c r="M558" s="3"/>
      <c r="N558" s="3"/>
      <c r="O558" s="3"/>
    </row>
    <row r="559" spans="1:15" ht="15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3"/>
      <c r="L559" s="2"/>
      <c r="M559" s="3"/>
      <c r="N559" s="3"/>
      <c r="O559" s="3"/>
    </row>
    <row r="560" spans="1:15" ht="15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3"/>
      <c r="L560" s="2"/>
      <c r="M560" s="3"/>
      <c r="N560" s="3"/>
      <c r="O560" s="3"/>
    </row>
    <row r="561" spans="1:15" ht="15.75">
      <c r="A561" s="2"/>
      <c r="B561" s="2"/>
      <c r="C561" s="2"/>
      <c r="D561" s="2"/>
      <c r="E561" s="13"/>
      <c r="F561" s="13"/>
      <c r="G561" s="2"/>
      <c r="H561" s="2"/>
      <c r="I561" s="2"/>
      <c r="J561" s="2"/>
      <c r="K561" s="3"/>
      <c r="L561" s="2"/>
      <c r="M561" s="3"/>
      <c r="N561" s="3"/>
      <c r="O561" s="3"/>
    </row>
    <row r="562" spans="1:15" ht="15.75">
      <c r="A562" s="8"/>
      <c r="B562" s="2"/>
      <c r="C562" s="2"/>
      <c r="D562" s="2"/>
      <c r="E562" s="2"/>
      <c r="F562" s="2"/>
      <c r="G562" s="2"/>
      <c r="H562" s="2"/>
      <c r="I562" s="8"/>
      <c r="J562" s="2"/>
      <c r="K562" s="3"/>
      <c r="L562" s="2"/>
      <c r="M562" s="3"/>
      <c r="N562" s="3"/>
      <c r="O562" s="3"/>
    </row>
    <row r="563" spans="1:15" ht="15.75">
      <c r="A563" s="8"/>
      <c r="B563" s="2"/>
      <c r="C563" s="2"/>
      <c r="D563" s="2"/>
      <c r="E563" s="2"/>
      <c r="F563" s="2"/>
      <c r="G563" s="2"/>
      <c r="H563" s="2"/>
      <c r="I563" s="2"/>
      <c r="J563" s="2"/>
      <c r="K563" s="3"/>
      <c r="L563" s="2"/>
      <c r="M563" s="3"/>
      <c r="N563" s="3"/>
      <c r="O563" s="3"/>
    </row>
    <row r="564" spans="1:15" ht="15.75">
      <c r="A564" s="8"/>
      <c r="B564" s="2"/>
      <c r="C564" s="2"/>
      <c r="D564" s="2"/>
      <c r="E564" s="2"/>
      <c r="F564" s="2"/>
      <c r="G564" s="2"/>
      <c r="H564" s="2"/>
      <c r="I564" s="2"/>
      <c r="J564" s="2"/>
      <c r="K564" s="3"/>
      <c r="L564" s="2"/>
      <c r="M564" s="3"/>
      <c r="N564" s="3"/>
      <c r="O564" s="3"/>
    </row>
    <row r="565" spans="1:15" ht="15.75">
      <c r="A565" s="8"/>
      <c r="B565" s="2"/>
      <c r="C565" s="2"/>
      <c r="D565" s="2"/>
      <c r="E565" s="2"/>
      <c r="F565" s="2"/>
      <c r="G565" s="2"/>
      <c r="H565" s="2"/>
      <c r="I565" s="2"/>
      <c r="J565" s="2"/>
      <c r="K565" s="3"/>
      <c r="L565" s="2"/>
      <c r="M565" s="3"/>
      <c r="N565" s="3"/>
      <c r="O565" s="3"/>
    </row>
    <row r="566" spans="1:15" ht="15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3"/>
      <c r="L566" s="2"/>
      <c r="M566" s="3"/>
      <c r="N566" s="3"/>
      <c r="O566" s="3"/>
    </row>
    <row r="567" spans="1:15" ht="15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3"/>
      <c r="L567" s="2"/>
      <c r="M567" s="3"/>
      <c r="N567" s="3"/>
      <c r="O567" s="3"/>
    </row>
    <row r="568" spans="1:15" ht="15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3"/>
      <c r="L568" s="2"/>
      <c r="M568" s="3"/>
      <c r="N568" s="3"/>
      <c r="O568" s="3"/>
    </row>
    <row r="569" spans="1:15" ht="15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3"/>
      <c r="L569" s="2"/>
      <c r="M569" s="3"/>
      <c r="N569" s="3"/>
      <c r="O569" s="3"/>
    </row>
    <row r="570" spans="1:15" ht="15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3"/>
      <c r="L570" s="2"/>
      <c r="M570" s="3"/>
      <c r="N570" s="3"/>
      <c r="O570" s="3"/>
    </row>
    <row r="571" spans="1:15" ht="15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3"/>
      <c r="L571" s="2"/>
      <c r="M571" s="3"/>
      <c r="N571" s="3"/>
      <c r="O571" s="3"/>
    </row>
    <row r="572" spans="1:15" ht="15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3"/>
      <c r="L572" s="2"/>
      <c r="M572" s="3"/>
      <c r="N572" s="3"/>
      <c r="O572" s="3"/>
    </row>
    <row r="573" spans="1:15" ht="15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3"/>
      <c r="L573" s="2"/>
      <c r="M573" s="3"/>
      <c r="N573" s="3"/>
      <c r="O573" s="3"/>
    </row>
    <row r="574" spans="1:15" ht="15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3"/>
      <c r="L574" s="2"/>
      <c r="M574" s="3"/>
      <c r="N574" s="3"/>
      <c r="O574" s="3"/>
    </row>
    <row r="575" spans="1:15" ht="15.75">
      <c r="A575" s="2"/>
      <c r="B575" s="2"/>
      <c r="C575" s="2"/>
      <c r="D575" s="2"/>
      <c r="E575" s="14"/>
      <c r="F575" s="14"/>
      <c r="G575" s="2"/>
      <c r="H575" s="2"/>
      <c r="I575" s="2"/>
      <c r="J575" s="2"/>
      <c r="K575" s="3"/>
      <c r="L575" s="2"/>
      <c r="M575" s="3"/>
      <c r="N575" s="3"/>
      <c r="O575" s="3"/>
    </row>
    <row r="576" spans="1:15" ht="15.75">
      <c r="A576" s="2"/>
      <c r="B576" s="2"/>
      <c r="C576" s="2"/>
      <c r="D576" s="2"/>
      <c r="E576" s="14"/>
      <c r="F576" s="14"/>
      <c r="G576" s="2"/>
      <c r="H576" s="2"/>
      <c r="I576" s="2"/>
      <c r="J576" s="2"/>
      <c r="K576" s="3"/>
      <c r="L576" s="2"/>
      <c r="M576" s="3"/>
      <c r="N576" s="3"/>
      <c r="O576" s="3"/>
    </row>
    <row r="577" spans="1:15" ht="15.75">
      <c r="A577" s="2"/>
      <c r="B577" s="2"/>
      <c r="C577" s="2"/>
      <c r="D577" s="2"/>
      <c r="E577" s="5"/>
      <c r="F577" s="5"/>
      <c r="G577" s="2"/>
      <c r="H577" s="2"/>
      <c r="I577" s="2"/>
      <c r="J577" s="2"/>
      <c r="K577" s="3"/>
      <c r="L577" s="2"/>
      <c r="M577" s="3"/>
      <c r="N577" s="3"/>
      <c r="O577" s="3"/>
    </row>
    <row r="578" spans="1:15" ht="15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3"/>
      <c r="L578" s="2"/>
      <c r="M578" s="3"/>
      <c r="N578" s="3"/>
      <c r="O578" s="3"/>
    </row>
    <row r="579" spans="1:15" ht="15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3"/>
      <c r="L579" s="2"/>
      <c r="M579" s="3"/>
      <c r="N579" s="3"/>
      <c r="O579" s="3"/>
    </row>
    <row r="580" spans="1:15" ht="15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3"/>
      <c r="L580" s="2"/>
      <c r="M580" s="3"/>
      <c r="N580" s="3"/>
      <c r="O580" s="3"/>
    </row>
    <row r="581" spans="1:15" ht="15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3"/>
      <c r="L581" s="2"/>
      <c r="M581" s="3"/>
      <c r="N581" s="3"/>
      <c r="O581" s="3"/>
    </row>
    <row r="582" spans="1:15" ht="15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3"/>
      <c r="L582" s="2"/>
      <c r="M582" s="3"/>
      <c r="N582" s="3"/>
      <c r="O582" s="3"/>
    </row>
    <row r="583" spans="1:15" ht="15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3"/>
      <c r="L583" s="2"/>
      <c r="M583" s="3"/>
      <c r="N583" s="3"/>
      <c r="O583" s="3"/>
    </row>
    <row r="584" spans="1:15" ht="15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3"/>
      <c r="L584" s="2"/>
      <c r="M584" s="3"/>
      <c r="N584" s="3"/>
      <c r="O584" s="3"/>
    </row>
    <row r="585" spans="1:15" ht="15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3"/>
      <c r="L585" s="2"/>
      <c r="M585" s="3"/>
      <c r="N585" s="3"/>
      <c r="O585" s="3"/>
    </row>
    <row r="586" spans="1:15" ht="15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3"/>
      <c r="L586" s="2"/>
      <c r="M586" s="3"/>
      <c r="N586" s="3"/>
      <c r="O586" s="3"/>
    </row>
    <row r="587" spans="1:15" ht="15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3"/>
      <c r="L587" s="2"/>
      <c r="M587" s="3"/>
      <c r="N587" s="3"/>
      <c r="O587" s="3"/>
    </row>
    <row r="588" spans="1:15" ht="15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3"/>
      <c r="L588" s="2"/>
      <c r="M588" s="3"/>
      <c r="N588" s="3"/>
      <c r="O588" s="3"/>
    </row>
    <row r="589" spans="1:15" ht="15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3"/>
      <c r="L589" s="2"/>
      <c r="M589" s="3"/>
      <c r="N589" s="3"/>
      <c r="O589" s="3"/>
    </row>
    <row r="590" spans="1:15" ht="15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3"/>
      <c r="L590" s="2"/>
      <c r="M590" s="3"/>
      <c r="N590" s="3"/>
      <c r="O590" s="3"/>
    </row>
    <row r="591" spans="1:15" ht="15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3"/>
      <c r="L591" s="2"/>
      <c r="M591" s="3"/>
      <c r="N591" s="3"/>
      <c r="O591" s="3"/>
    </row>
    <row r="592" spans="1:15" ht="15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3"/>
      <c r="L592" s="2"/>
      <c r="M592" s="3"/>
      <c r="N592" s="3"/>
      <c r="O592" s="3"/>
    </row>
    <row r="593" spans="1:15" ht="15.75">
      <c r="A593" s="2"/>
      <c r="B593" s="2"/>
      <c r="C593" s="2"/>
      <c r="D593" s="2"/>
      <c r="E593" s="13"/>
      <c r="F593" s="13"/>
      <c r="G593" s="2"/>
      <c r="H593" s="2"/>
      <c r="I593" s="2"/>
      <c r="J593" s="2"/>
      <c r="K593" s="3"/>
      <c r="L593" s="2"/>
      <c r="M593" s="3"/>
      <c r="N593" s="3"/>
      <c r="O593" s="3"/>
    </row>
    <row r="594" spans="1:15" ht="15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3"/>
      <c r="L594" s="2"/>
      <c r="M594" s="3"/>
      <c r="N594" s="3"/>
      <c r="O594" s="3"/>
    </row>
    <row r="595" spans="1:15" ht="15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3"/>
      <c r="L595" s="2"/>
      <c r="M595" s="3"/>
      <c r="N595" s="3"/>
      <c r="O595" s="3"/>
    </row>
    <row r="596" spans="1:15" ht="15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3"/>
      <c r="L596" s="2"/>
      <c r="M596" s="3"/>
      <c r="N596" s="3"/>
      <c r="O596" s="3"/>
    </row>
    <row r="597" spans="1:15" ht="15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3"/>
      <c r="L597" s="2"/>
      <c r="M597" s="3"/>
      <c r="N597" s="3"/>
      <c r="O597" s="3"/>
    </row>
    <row r="598" spans="1:15" ht="15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3"/>
      <c r="L598" s="2"/>
      <c r="M598" s="3"/>
      <c r="N598" s="3"/>
      <c r="O598" s="3"/>
    </row>
    <row r="599" spans="1:15" ht="15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3"/>
      <c r="L599" s="2"/>
      <c r="M599" s="3"/>
      <c r="N599" s="3"/>
      <c r="O599" s="3"/>
    </row>
    <row r="600" spans="1:15" ht="15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3"/>
      <c r="L600" s="2"/>
      <c r="M600" s="3"/>
      <c r="N600" s="3"/>
      <c r="O600" s="3"/>
    </row>
    <row r="601" spans="1:15" ht="15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3"/>
      <c r="L601" s="2"/>
      <c r="M601" s="3"/>
      <c r="N601" s="3"/>
      <c r="O601" s="3"/>
    </row>
    <row r="602" spans="1:15" ht="15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3"/>
      <c r="L602" s="2"/>
      <c r="M602" s="3"/>
      <c r="N602" s="3"/>
      <c r="O602" s="3"/>
    </row>
    <row r="603" spans="1:15" ht="15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3"/>
      <c r="L603" s="2"/>
      <c r="M603" s="3"/>
      <c r="N603" s="3"/>
      <c r="O603" s="3"/>
    </row>
    <row r="604" spans="1:15" ht="15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3"/>
      <c r="L604" s="2"/>
      <c r="M604" s="3"/>
      <c r="N604" s="3"/>
      <c r="O604" s="3"/>
    </row>
    <row r="605" spans="1:15" ht="15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3"/>
      <c r="L605" s="2"/>
      <c r="M605" s="3"/>
      <c r="N605" s="3"/>
      <c r="O605" s="3"/>
    </row>
    <row r="606" spans="1:15" ht="15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3"/>
      <c r="L606" s="2"/>
      <c r="M606" s="3"/>
      <c r="N606" s="3"/>
      <c r="O606" s="3"/>
    </row>
    <row r="607" spans="1:15" ht="15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3"/>
      <c r="L607" s="2"/>
      <c r="M607" s="3"/>
      <c r="N607" s="3"/>
      <c r="O607" s="3"/>
    </row>
    <row r="608" spans="1:15" ht="15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3"/>
      <c r="L608" s="2"/>
      <c r="M608" s="3"/>
      <c r="N608" s="3"/>
      <c r="O608" s="3"/>
    </row>
    <row r="609" spans="1:15" ht="15.75">
      <c r="A609" s="2"/>
      <c r="B609" s="2"/>
      <c r="C609" s="2"/>
      <c r="D609" s="2"/>
      <c r="E609" s="13"/>
      <c r="F609" s="13"/>
      <c r="G609" s="2"/>
      <c r="H609" s="2"/>
      <c r="I609" s="2"/>
      <c r="J609" s="2"/>
      <c r="K609" s="3"/>
      <c r="L609" s="2"/>
      <c r="M609" s="3"/>
      <c r="N609" s="3"/>
      <c r="O609" s="3"/>
    </row>
    <row r="610" spans="1:15" ht="15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3"/>
      <c r="L610" s="2"/>
      <c r="M610" s="3"/>
      <c r="N610" s="3"/>
      <c r="O610" s="3"/>
    </row>
    <row r="611" spans="1:15" ht="15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3"/>
      <c r="L611" s="2"/>
      <c r="M611" s="3"/>
      <c r="N611" s="3"/>
      <c r="O611" s="3"/>
    </row>
    <row r="612" spans="1:15" ht="15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3"/>
      <c r="L612" s="2"/>
      <c r="M612" s="3"/>
      <c r="N612" s="3"/>
      <c r="O612" s="3"/>
    </row>
    <row r="613" spans="1:15" ht="15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3"/>
      <c r="L613" s="2"/>
      <c r="M613" s="3"/>
      <c r="N613" s="3"/>
      <c r="O613" s="3"/>
    </row>
    <row r="614" spans="1:15" ht="15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3"/>
      <c r="L614" s="2"/>
      <c r="M614" s="3"/>
      <c r="N614" s="3"/>
      <c r="O614" s="3"/>
    </row>
    <row r="615" spans="1:15" ht="15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3"/>
      <c r="L615" s="2"/>
      <c r="M615" s="3"/>
      <c r="N615" s="3"/>
      <c r="O615" s="3"/>
    </row>
    <row r="616" spans="1:15" ht="15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"/>
      <c r="L616" s="2"/>
      <c r="M616" s="3"/>
      <c r="N616" s="3"/>
      <c r="O616" s="3"/>
    </row>
    <row r="617" spans="1:15" ht="15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3"/>
      <c r="L617" s="2"/>
      <c r="M617" s="3"/>
      <c r="N617" s="3"/>
      <c r="O617" s="3"/>
    </row>
    <row r="618" spans="1:15" ht="15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3"/>
      <c r="L618" s="2"/>
      <c r="M618" s="3"/>
      <c r="N618" s="3"/>
      <c r="O618" s="3"/>
    </row>
    <row r="619" spans="1:15" ht="15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3"/>
      <c r="L619" s="2"/>
      <c r="M619" s="3"/>
      <c r="N619" s="3"/>
      <c r="O619" s="3"/>
    </row>
    <row r="620" spans="1:15" ht="15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3"/>
      <c r="L620" s="2"/>
      <c r="M620" s="3"/>
      <c r="N620" s="3"/>
      <c r="O620" s="3"/>
    </row>
    <row r="621" spans="1:15" ht="15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3"/>
      <c r="L621" s="2"/>
      <c r="M621" s="3"/>
      <c r="N621" s="3"/>
      <c r="O621" s="3"/>
    </row>
    <row r="622" spans="1:15" ht="15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3"/>
      <c r="L622" s="2"/>
      <c r="M622" s="3"/>
      <c r="N622" s="3"/>
      <c r="O622" s="3"/>
    </row>
    <row r="623" spans="1:15" ht="15.75">
      <c r="A623" s="2"/>
      <c r="B623" s="2"/>
      <c r="C623" s="2"/>
      <c r="D623" s="2"/>
      <c r="E623" s="14"/>
      <c r="F623" s="14"/>
      <c r="G623" s="2"/>
      <c r="H623" s="2"/>
      <c r="I623" s="2"/>
      <c r="J623" s="2"/>
      <c r="K623" s="3"/>
      <c r="L623" s="2"/>
      <c r="M623" s="3"/>
      <c r="N623" s="3"/>
      <c r="O623" s="3"/>
    </row>
    <row r="624" spans="1:15" ht="15.75">
      <c r="A624" s="2"/>
      <c r="B624" s="2"/>
      <c r="C624" s="2"/>
      <c r="D624" s="2"/>
      <c r="E624" s="14"/>
      <c r="F624" s="14"/>
      <c r="G624" s="2"/>
      <c r="H624" s="2"/>
      <c r="I624" s="2"/>
      <c r="J624" s="2"/>
      <c r="K624" s="3"/>
      <c r="L624" s="2"/>
      <c r="M624" s="3"/>
      <c r="N624" s="3"/>
      <c r="O624" s="3"/>
    </row>
    <row r="625" spans="1:15" ht="15.75">
      <c r="A625" s="2"/>
      <c r="B625" s="2"/>
      <c r="C625" s="2"/>
      <c r="D625" s="2"/>
      <c r="E625" s="5"/>
      <c r="F625" s="5"/>
      <c r="G625" s="2"/>
      <c r="H625" s="2"/>
      <c r="I625" s="2"/>
      <c r="J625" s="2"/>
      <c r="K625" s="3"/>
      <c r="L625" s="2"/>
      <c r="M625" s="3"/>
      <c r="N625" s="3"/>
      <c r="O625" s="3"/>
    </row>
    <row r="626" spans="1:15" ht="15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3"/>
      <c r="L626" s="2"/>
      <c r="M626" s="3"/>
      <c r="N626" s="3"/>
      <c r="O626" s="3"/>
    </row>
    <row r="627" spans="1:15" ht="15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3"/>
      <c r="L627" s="2"/>
      <c r="M627" s="3"/>
      <c r="N627" s="3"/>
      <c r="O627" s="3"/>
    </row>
    <row r="628" spans="1:15" ht="15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3"/>
      <c r="L628" s="2"/>
      <c r="M628" s="3"/>
      <c r="N628" s="3"/>
      <c r="O628" s="3"/>
    </row>
    <row r="629" spans="1:15" ht="15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3"/>
      <c r="L629" s="2"/>
      <c r="M629" s="3"/>
      <c r="N629" s="3"/>
      <c r="O629" s="3"/>
    </row>
    <row r="630" spans="1:15" ht="15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3"/>
      <c r="L630" s="2"/>
      <c r="M630" s="3"/>
      <c r="N630" s="3"/>
      <c r="O630" s="3"/>
    </row>
    <row r="631" spans="1:15" ht="15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3"/>
      <c r="L631" s="2"/>
      <c r="M631" s="3"/>
      <c r="N631" s="3"/>
      <c r="O631" s="3"/>
    </row>
    <row r="632" spans="1:15" ht="15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3"/>
      <c r="L632" s="2"/>
      <c r="M632" s="3"/>
      <c r="N632" s="3"/>
      <c r="O632" s="3"/>
    </row>
    <row r="633" spans="1:15" ht="15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3"/>
      <c r="L633" s="2"/>
      <c r="M633" s="3"/>
      <c r="N633" s="3"/>
      <c r="O633" s="3"/>
    </row>
    <row r="634" spans="1:15" ht="15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3"/>
      <c r="L634" s="2"/>
      <c r="M634" s="3"/>
      <c r="N634" s="3"/>
      <c r="O634" s="3"/>
    </row>
    <row r="635" spans="1:15" ht="15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3"/>
      <c r="L635" s="2"/>
      <c r="M635" s="3"/>
      <c r="N635" s="3"/>
      <c r="O635" s="3"/>
    </row>
    <row r="636" spans="1:15" ht="15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3"/>
      <c r="L636" s="2"/>
      <c r="M636" s="3"/>
      <c r="N636" s="3"/>
      <c r="O636" s="3"/>
    </row>
    <row r="637" spans="1:15" ht="15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3"/>
      <c r="L637" s="2"/>
      <c r="M637" s="3"/>
      <c r="N637" s="3"/>
      <c r="O637" s="3"/>
    </row>
    <row r="638" spans="1:15" ht="15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3"/>
      <c r="L638" s="2"/>
      <c r="M638" s="3"/>
      <c r="N638" s="3"/>
      <c r="O638" s="3"/>
    </row>
    <row r="639" spans="1:15" ht="15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3"/>
      <c r="L639" s="2"/>
      <c r="M639" s="3"/>
      <c r="N639" s="3"/>
      <c r="O639" s="3"/>
    </row>
    <row r="640" spans="1:15" ht="15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3"/>
      <c r="L640" s="2"/>
      <c r="M640" s="3"/>
      <c r="N640" s="3"/>
      <c r="O640" s="3"/>
    </row>
    <row r="641" spans="1:15" ht="15.75">
      <c r="A641" s="2"/>
      <c r="B641" s="2"/>
      <c r="C641" s="2"/>
      <c r="D641" s="2"/>
      <c r="E641" s="13"/>
      <c r="F641" s="13"/>
      <c r="G641" s="2"/>
      <c r="H641" s="2"/>
      <c r="I641" s="2"/>
      <c r="J641" s="2"/>
      <c r="K641" s="3"/>
      <c r="L641" s="2"/>
      <c r="M641" s="3"/>
      <c r="N641" s="3"/>
      <c r="O641" s="3"/>
    </row>
    <row r="642" spans="1:15" ht="15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3"/>
      <c r="L642" s="2"/>
      <c r="M642" s="3"/>
      <c r="N642" s="3"/>
      <c r="O642" s="3"/>
    </row>
    <row r="643" spans="1:15" ht="15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3"/>
      <c r="L643" s="2"/>
      <c r="M643" s="3"/>
      <c r="N643" s="3"/>
      <c r="O643" s="3"/>
    </row>
    <row r="644" spans="1:15" ht="15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3"/>
      <c r="L644" s="2"/>
      <c r="M644" s="3"/>
      <c r="N644" s="3"/>
      <c r="O644" s="3"/>
    </row>
    <row r="645" spans="1:15" ht="15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3"/>
      <c r="L645" s="2"/>
      <c r="M645" s="3"/>
      <c r="N645" s="3"/>
      <c r="O645" s="3"/>
    </row>
    <row r="646" spans="1:15" ht="15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3"/>
      <c r="L646" s="2"/>
      <c r="M646" s="3"/>
      <c r="N646" s="3"/>
      <c r="O646" s="3"/>
    </row>
    <row r="647" spans="1:15" ht="15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3"/>
      <c r="L647" s="2"/>
      <c r="M647" s="3"/>
      <c r="N647" s="3"/>
      <c r="O647" s="3"/>
    </row>
    <row r="648" spans="1:15" ht="15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3"/>
      <c r="L648" s="2"/>
      <c r="M648" s="3"/>
      <c r="N648" s="3"/>
      <c r="O648" s="3"/>
    </row>
    <row r="649" spans="1:15" ht="15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3"/>
      <c r="L649" s="2"/>
      <c r="M649" s="3"/>
      <c r="N649" s="3"/>
      <c r="O649" s="3"/>
    </row>
    <row r="650" spans="1:15" ht="15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3"/>
      <c r="L650" s="2"/>
      <c r="M650" s="3"/>
      <c r="N650" s="3"/>
      <c r="O650" s="3"/>
    </row>
    <row r="651" spans="1:15" ht="15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3"/>
      <c r="L651" s="2"/>
      <c r="M651" s="3"/>
      <c r="N651" s="3"/>
      <c r="O651" s="3"/>
    </row>
    <row r="652" spans="1:15" ht="15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3"/>
      <c r="L652" s="2"/>
      <c r="M652" s="3"/>
      <c r="N652" s="3"/>
      <c r="O652" s="3"/>
    </row>
    <row r="653" spans="1:15" ht="15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3"/>
      <c r="L653" s="2"/>
      <c r="M653" s="3"/>
      <c r="N653" s="3"/>
      <c r="O653" s="3"/>
    </row>
    <row r="654" spans="1:15" ht="15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3"/>
      <c r="L654" s="2"/>
      <c r="M654" s="3"/>
      <c r="N654" s="3"/>
      <c r="O654" s="3"/>
    </row>
    <row r="655" spans="1:15" ht="15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3"/>
      <c r="L655" s="2"/>
      <c r="M655" s="3"/>
      <c r="N655" s="3"/>
      <c r="O655" s="3"/>
    </row>
    <row r="656" spans="1:15" ht="15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3"/>
      <c r="L656" s="2"/>
      <c r="M656" s="3"/>
      <c r="N656" s="3"/>
      <c r="O656" s="3"/>
    </row>
    <row r="657" spans="1:15" ht="15.75">
      <c r="A657" s="2"/>
      <c r="B657" s="2"/>
      <c r="C657" s="13"/>
      <c r="D657" s="13"/>
      <c r="E657" s="13"/>
      <c r="F657" s="13"/>
      <c r="G657" s="2"/>
      <c r="H657" s="2"/>
      <c r="I657" s="2"/>
      <c r="J657" s="2"/>
      <c r="K657" s="3"/>
      <c r="L657" s="2"/>
      <c r="M657" s="3"/>
      <c r="N657" s="3"/>
      <c r="O657" s="3"/>
    </row>
    <row r="658" spans="1:15" ht="15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3"/>
      <c r="L658" s="2"/>
      <c r="M658" s="3"/>
      <c r="N658" s="3"/>
      <c r="O658" s="3"/>
    </row>
    <row r="659" spans="1:15" ht="15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3"/>
      <c r="L659" s="2"/>
      <c r="M659" s="3"/>
      <c r="N659" s="3"/>
      <c r="O659" s="3"/>
    </row>
    <row r="660" spans="1:15" ht="15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3"/>
      <c r="L660" s="2"/>
      <c r="M660" s="3"/>
      <c r="N660" s="3"/>
      <c r="O660" s="3"/>
    </row>
    <row r="661" spans="1:15" ht="15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3"/>
      <c r="L661" s="2"/>
      <c r="M661" s="3"/>
      <c r="N661" s="3"/>
      <c r="O661" s="3"/>
    </row>
    <row r="662" spans="1:15" ht="15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3"/>
      <c r="L662" s="2"/>
      <c r="M662" s="3"/>
      <c r="N662" s="3"/>
      <c r="O662" s="3"/>
    </row>
    <row r="663" spans="1:15" ht="15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3"/>
      <c r="L663" s="2"/>
      <c r="M663" s="3"/>
      <c r="N663" s="3"/>
      <c r="O663" s="3"/>
    </row>
    <row r="664" spans="1:15" ht="15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3"/>
      <c r="L664" s="2"/>
      <c r="M664" s="3"/>
      <c r="N664" s="3"/>
      <c r="O664" s="3"/>
    </row>
    <row r="665" spans="1:15" ht="15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3"/>
      <c r="L665" s="2"/>
      <c r="M665" s="3"/>
      <c r="N665" s="3"/>
      <c r="O665" s="3"/>
    </row>
    <row r="666" spans="1:15" ht="15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3"/>
      <c r="L666" s="2"/>
      <c r="M666" s="3"/>
      <c r="N666" s="3"/>
      <c r="O666" s="3"/>
    </row>
    <row r="667" spans="1:15" ht="15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3"/>
      <c r="L667" s="2"/>
      <c r="M667" s="3"/>
      <c r="N667" s="3"/>
      <c r="O667" s="3"/>
    </row>
    <row r="668" spans="1:15" ht="15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3"/>
      <c r="L668" s="2"/>
      <c r="M668" s="3"/>
      <c r="N668" s="3"/>
      <c r="O668" s="3"/>
    </row>
    <row r="669" spans="1:15" ht="15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3"/>
      <c r="L669" s="2"/>
      <c r="M669" s="3"/>
      <c r="N669" s="3"/>
      <c r="O669" s="3"/>
    </row>
    <row r="670" spans="1:15" ht="15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3"/>
      <c r="L670" s="2"/>
      <c r="M670" s="3"/>
      <c r="N670" s="3"/>
      <c r="O670" s="3"/>
    </row>
    <row r="671" spans="1:15" ht="15.75">
      <c r="A671" s="2"/>
      <c r="B671" s="2"/>
      <c r="C671" s="2"/>
      <c r="D671" s="2"/>
      <c r="E671" s="14"/>
      <c r="F671" s="14"/>
      <c r="G671" s="2"/>
      <c r="H671" s="2"/>
      <c r="I671" s="2"/>
      <c r="J671" s="2"/>
      <c r="K671" s="3"/>
      <c r="L671" s="2"/>
      <c r="M671" s="3"/>
      <c r="N671" s="3"/>
      <c r="O671" s="3"/>
    </row>
    <row r="672" spans="1:15" ht="15.75">
      <c r="A672" s="2"/>
      <c r="B672" s="2"/>
      <c r="C672" s="2"/>
      <c r="D672" s="2"/>
      <c r="E672" s="14"/>
      <c r="F672" s="14"/>
      <c r="G672" s="2"/>
      <c r="H672" s="2"/>
      <c r="I672" s="2"/>
      <c r="J672" s="2"/>
      <c r="K672" s="3"/>
      <c r="L672" s="2"/>
      <c r="M672" s="3"/>
      <c r="N672" s="3"/>
      <c r="O672" s="3"/>
    </row>
    <row r="673" spans="1:15" ht="15.75">
      <c r="A673" s="2"/>
      <c r="B673" s="2"/>
      <c r="C673" s="13"/>
      <c r="D673" s="13"/>
      <c r="E673" s="5"/>
      <c r="F673" s="5"/>
      <c r="G673" s="2"/>
      <c r="H673" s="2"/>
      <c r="I673" s="2"/>
      <c r="J673" s="2"/>
      <c r="K673" s="3"/>
      <c r="L673" s="2"/>
      <c r="M673" s="3"/>
      <c r="N673" s="3"/>
      <c r="O673" s="3"/>
    </row>
    <row r="674" spans="1:15" ht="15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3"/>
      <c r="L674" s="2"/>
      <c r="M674" s="3"/>
      <c r="N674" s="3"/>
      <c r="O674" s="3"/>
    </row>
    <row r="675" spans="1:15" ht="15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3"/>
      <c r="L675" s="2"/>
      <c r="M675" s="3"/>
      <c r="N675" s="3"/>
      <c r="O675" s="3"/>
    </row>
    <row r="676" spans="1:15" ht="15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3"/>
      <c r="L676" s="2"/>
      <c r="M676" s="3"/>
      <c r="N676" s="3"/>
      <c r="O676" s="3"/>
    </row>
    <row r="677" spans="1:15" ht="15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3"/>
      <c r="L677" s="2"/>
      <c r="M677" s="3"/>
      <c r="N677" s="3"/>
      <c r="O677" s="3"/>
    </row>
    <row r="678" spans="1:15" ht="15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3"/>
      <c r="L678" s="2"/>
      <c r="M678" s="3"/>
      <c r="N678" s="3"/>
      <c r="O678" s="3"/>
    </row>
    <row r="679" spans="1:15" ht="15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3"/>
      <c r="L679" s="2"/>
      <c r="M679" s="3"/>
      <c r="N679" s="3"/>
      <c r="O679" s="3"/>
    </row>
    <row r="680" spans="1:15" ht="15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3"/>
      <c r="L680" s="2"/>
      <c r="M680" s="3"/>
      <c r="N680" s="3"/>
      <c r="O680" s="3"/>
    </row>
    <row r="681" spans="1:15" ht="15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3"/>
      <c r="L681" s="2"/>
      <c r="M681" s="3"/>
      <c r="N681" s="3"/>
      <c r="O681" s="3"/>
    </row>
    <row r="682" spans="1:15" ht="15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3"/>
      <c r="L682" s="2"/>
      <c r="M682" s="3"/>
      <c r="N682" s="3"/>
      <c r="O682" s="3"/>
    </row>
    <row r="683" spans="1:15" ht="15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3"/>
      <c r="L683" s="2"/>
      <c r="M683" s="3"/>
      <c r="N683" s="3"/>
      <c r="O683" s="3"/>
    </row>
    <row r="684" spans="1:15" ht="15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3"/>
      <c r="L684" s="2"/>
      <c r="M684" s="3"/>
      <c r="N684" s="3"/>
      <c r="O684" s="3"/>
    </row>
    <row r="685" spans="1:15" ht="15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3"/>
      <c r="L685" s="2"/>
      <c r="M685" s="3"/>
      <c r="N685" s="3"/>
      <c r="O685" s="3"/>
    </row>
    <row r="686" spans="1:15" ht="15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3"/>
      <c r="L686" s="2"/>
      <c r="M686" s="3"/>
      <c r="N686" s="3"/>
      <c r="O686" s="3"/>
    </row>
    <row r="687" spans="1:15" ht="15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3"/>
      <c r="L687" s="2"/>
      <c r="M687" s="3"/>
      <c r="N687" s="3"/>
      <c r="O687" s="3"/>
    </row>
    <row r="688" spans="1:15" ht="15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3"/>
      <c r="L688" s="2"/>
      <c r="M688" s="3"/>
      <c r="N688" s="3"/>
      <c r="O688" s="3"/>
    </row>
    <row r="689" spans="1:15" ht="15.75">
      <c r="A689" s="2"/>
      <c r="B689" s="2"/>
      <c r="C689" s="13"/>
      <c r="D689" s="13"/>
      <c r="E689" s="13"/>
      <c r="F689" s="13"/>
      <c r="G689" s="2"/>
      <c r="H689" s="2"/>
      <c r="I689" s="2"/>
      <c r="J689" s="2"/>
      <c r="K689" s="3"/>
      <c r="L689" s="2"/>
      <c r="M689" s="3"/>
      <c r="N689" s="3"/>
      <c r="O689" s="3"/>
    </row>
    <row r="690" spans="1:15" ht="15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3"/>
      <c r="L690" s="2"/>
      <c r="M690" s="3"/>
      <c r="N690" s="3"/>
      <c r="O690" s="3"/>
    </row>
    <row r="691" spans="1:15" ht="15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3"/>
      <c r="L691" s="2"/>
      <c r="M691" s="3"/>
      <c r="N691" s="3"/>
      <c r="O691" s="3"/>
    </row>
    <row r="692" spans="1:15" ht="15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3"/>
      <c r="L692" s="2"/>
      <c r="M692" s="3"/>
      <c r="N692" s="3"/>
      <c r="O692" s="3"/>
    </row>
    <row r="693" spans="1:15" ht="15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3"/>
      <c r="L693" s="2"/>
      <c r="M693" s="3"/>
      <c r="N693" s="3"/>
      <c r="O693" s="3"/>
    </row>
    <row r="694" spans="1:15" ht="15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3"/>
      <c r="L694" s="2"/>
      <c r="M694" s="3"/>
      <c r="N694" s="3"/>
      <c r="O694" s="3"/>
    </row>
    <row r="695" spans="1:15" ht="15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3"/>
      <c r="L695" s="2"/>
      <c r="M695" s="3"/>
      <c r="N695" s="3"/>
      <c r="O695" s="3"/>
    </row>
    <row r="696" spans="1:15" ht="15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3"/>
      <c r="L696" s="2"/>
      <c r="M696" s="3"/>
      <c r="N696" s="3"/>
      <c r="O696" s="3"/>
    </row>
    <row r="697" spans="1:15" ht="15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3"/>
      <c r="L697" s="2"/>
      <c r="M697" s="3"/>
      <c r="N697" s="3"/>
      <c r="O697" s="3"/>
    </row>
    <row r="698" spans="1:15" ht="15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3"/>
      <c r="L698" s="2"/>
      <c r="M698" s="3"/>
      <c r="N698" s="3"/>
      <c r="O698" s="3"/>
    </row>
    <row r="699" spans="1:15" ht="15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3"/>
      <c r="L699" s="2"/>
      <c r="M699" s="3"/>
      <c r="N699" s="3"/>
      <c r="O699" s="3"/>
    </row>
    <row r="700" spans="1:15" ht="15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3"/>
      <c r="L700" s="2"/>
      <c r="M700" s="3"/>
      <c r="N700" s="3"/>
      <c r="O700" s="3"/>
    </row>
    <row r="701" spans="1:15" ht="15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3"/>
      <c r="L701" s="2"/>
      <c r="M701" s="3"/>
      <c r="N701" s="3"/>
      <c r="O701" s="3"/>
    </row>
    <row r="702" spans="1:15" ht="15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3"/>
      <c r="L702" s="2"/>
      <c r="M702" s="3"/>
      <c r="N702" s="3"/>
      <c r="O702" s="3"/>
    </row>
    <row r="703" spans="1:15" ht="15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3"/>
      <c r="L703" s="2"/>
      <c r="M703" s="3"/>
      <c r="N703" s="3"/>
      <c r="O703" s="3"/>
    </row>
    <row r="704" spans="1:15" ht="15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3"/>
      <c r="L704" s="2"/>
      <c r="M704" s="3"/>
      <c r="N704" s="3"/>
      <c r="O704" s="3"/>
    </row>
    <row r="705" spans="1:15" ht="15.75">
      <c r="A705" s="2"/>
      <c r="B705" s="2"/>
      <c r="C705" s="13"/>
      <c r="D705" s="13"/>
      <c r="E705" s="13"/>
      <c r="F705" s="13"/>
      <c r="G705" s="2"/>
      <c r="H705" s="2"/>
      <c r="I705" s="2"/>
      <c r="J705" s="2"/>
      <c r="K705" s="3"/>
      <c r="L705" s="2"/>
      <c r="M705" s="3"/>
      <c r="N705" s="3"/>
      <c r="O705" s="3"/>
    </row>
    <row r="706" spans="1:15" ht="15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3"/>
      <c r="L706" s="2"/>
      <c r="M706" s="3"/>
      <c r="N706" s="3"/>
      <c r="O706" s="3"/>
    </row>
    <row r="707" spans="1:15" ht="15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3"/>
      <c r="L707" s="2"/>
      <c r="M707" s="3"/>
      <c r="N707" s="3"/>
      <c r="O707" s="3"/>
    </row>
    <row r="708" spans="1:15" ht="15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3"/>
      <c r="L708" s="2"/>
      <c r="M708" s="3"/>
      <c r="N708" s="3"/>
      <c r="O708" s="3"/>
    </row>
    <row r="709" spans="1:15" ht="15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3"/>
      <c r="L709" s="2"/>
      <c r="M709" s="3"/>
      <c r="N709" s="3"/>
      <c r="O709" s="3"/>
    </row>
    <row r="710" spans="1:15" ht="15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3"/>
      <c r="L710" s="2"/>
      <c r="M710" s="3"/>
      <c r="N710" s="3"/>
      <c r="O710" s="3"/>
    </row>
    <row r="711" spans="1:15" ht="15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3"/>
      <c r="L711" s="2"/>
      <c r="M711" s="3"/>
      <c r="N711" s="3"/>
      <c r="O711" s="3"/>
    </row>
    <row r="712" spans="1:15" ht="15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3"/>
      <c r="L712" s="2"/>
      <c r="M712" s="3"/>
      <c r="N712" s="3"/>
      <c r="O712" s="3"/>
    </row>
    <row r="713" spans="1:15" ht="15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3"/>
      <c r="L713" s="2"/>
      <c r="M713" s="3"/>
      <c r="N713" s="3"/>
      <c r="O713" s="3"/>
    </row>
    <row r="714" spans="1:15" ht="15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3"/>
      <c r="L714" s="2"/>
      <c r="M714" s="3"/>
      <c r="N714" s="3"/>
      <c r="O714" s="3"/>
    </row>
    <row r="715" spans="1:15" ht="15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3"/>
      <c r="L715" s="2"/>
      <c r="M715" s="3"/>
      <c r="N715" s="3"/>
      <c r="O715" s="3"/>
    </row>
    <row r="716" spans="1:15" ht="15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3"/>
      <c r="L716" s="2"/>
      <c r="M716" s="3"/>
      <c r="N716" s="3"/>
      <c r="O716" s="3"/>
    </row>
    <row r="717" spans="1:15" ht="15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3"/>
      <c r="L717" s="2"/>
      <c r="M717" s="3"/>
      <c r="N717" s="3"/>
      <c r="O717" s="3"/>
    </row>
    <row r="718" spans="1:15" ht="15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3"/>
      <c r="L718" s="2"/>
      <c r="M718" s="3"/>
      <c r="N718" s="3"/>
      <c r="O718" s="3"/>
    </row>
    <row r="719" spans="1:15" ht="15.75">
      <c r="A719" s="2"/>
      <c r="B719" s="2"/>
      <c r="C719" s="2"/>
      <c r="D719" s="2"/>
      <c r="E719" s="14"/>
      <c r="F719" s="14"/>
      <c r="G719" s="2"/>
      <c r="H719" s="2"/>
      <c r="I719" s="2"/>
      <c r="J719" s="2"/>
      <c r="K719" s="3"/>
      <c r="L719" s="2"/>
      <c r="M719" s="3"/>
      <c r="N719" s="3"/>
      <c r="O719" s="3"/>
    </row>
    <row r="720" spans="1:15" ht="15.75">
      <c r="A720" s="2"/>
      <c r="B720" s="2"/>
      <c r="C720" s="2"/>
      <c r="D720" s="2"/>
      <c r="E720" s="14"/>
      <c r="F720" s="14"/>
      <c r="G720" s="2"/>
      <c r="H720" s="2"/>
      <c r="I720" s="2"/>
      <c r="J720" s="2"/>
      <c r="K720" s="3"/>
      <c r="L720" s="2"/>
      <c r="M720" s="3"/>
      <c r="N720" s="3"/>
      <c r="O720" s="3"/>
    </row>
    <row r="721" spans="1:15" ht="15.75">
      <c r="A721" s="2"/>
      <c r="B721" s="2"/>
      <c r="C721" s="13"/>
      <c r="D721" s="13"/>
      <c r="E721" s="5"/>
      <c r="F721" s="5"/>
      <c r="G721" s="2"/>
      <c r="H721" s="2"/>
      <c r="I721" s="2"/>
      <c r="J721" s="2"/>
      <c r="K721" s="3"/>
      <c r="L721" s="2"/>
      <c r="M721" s="3"/>
      <c r="N721" s="3"/>
      <c r="O721" s="3"/>
    </row>
    <row r="722" spans="1:15" ht="15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3"/>
      <c r="L722" s="2"/>
      <c r="M722" s="3"/>
      <c r="N722" s="3"/>
      <c r="O722" s="3"/>
    </row>
    <row r="723" spans="1:15" ht="15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3"/>
      <c r="L723" s="2"/>
      <c r="M723" s="3"/>
      <c r="N723" s="3"/>
      <c r="O723" s="3"/>
    </row>
    <row r="724" spans="1:15" ht="15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3"/>
      <c r="L724" s="2"/>
      <c r="M724" s="3"/>
      <c r="N724" s="3"/>
      <c r="O724" s="3"/>
    </row>
    <row r="725" spans="1:15" ht="15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3"/>
      <c r="L725" s="2"/>
      <c r="M725" s="3"/>
      <c r="N725" s="3"/>
      <c r="O725" s="3"/>
    </row>
    <row r="726" spans="1:15" ht="15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3"/>
      <c r="L726" s="2"/>
      <c r="M726" s="3"/>
      <c r="N726" s="3"/>
      <c r="O726" s="3"/>
    </row>
    <row r="727" spans="1:15" ht="15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3"/>
      <c r="L727" s="2"/>
      <c r="M727" s="3"/>
      <c r="N727" s="3"/>
      <c r="O727" s="3"/>
    </row>
    <row r="728" spans="1:15" ht="15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3"/>
      <c r="L728" s="2"/>
      <c r="M728" s="3"/>
      <c r="N728" s="3"/>
      <c r="O728" s="3"/>
    </row>
    <row r="729" spans="1:15" ht="15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3"/>
      <c r="L729" s="2"/>
      <c r="M729" s="3"/>
      <c r="N729" s="3"/>
      <c r="O729" s="3"/>
    </row>
    <row r="730" spans="1:15" ht="15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3"/>
      <c r="L730" s="2"/>
      <c r="M730" s="3"/>
      <c r="N730" s="3"/>
      <c r="O730" s="3"/>
    </row>
    <row r="731" spans="1:15" ht="15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3"/>
      <c r="L731" s="2"/>
      <c r="M731" s="3"/>
      <c r="N731" s="3"/>
      <c r="O731" s="3"/>
    </row>
    <row r="732" spans="1:15" ht="15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3"/>
      <c r="L732" s="2"/>
      <c r="M732" s="3"/>
      <c r="N732" s="3"/>
      <c r="O732" s="3"/>
    </row>
    <row r="733" spans="1:15" ht="15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3"/>
      <c r="L733" s="2"/>
      <c r="M733" s="3"/>
      <c r="N733" s="3"/>
      <c r="O733" s="3"/>
    </row>
    <row r="734" spans="1:15" ht="15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3"/>
      <c r="L734" s="2"/>
      <c r="M734" s="3"/>
      <c r="N734" s="3"/>
      <c r="O734" s="3"/>
    </row>
    <row r="735" spans="1:15" ht="15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3"/>
      <c r="L735" s="2"/>
      <c r="M735" s="3"/>
      <c r="N735" s="3"/>
      <c r="O735" s="3"/>
    </row>
    <row r="736" spans="1:15" ht="15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3"/>
      <c r="L736" s="2"/>
      <c r="M736" s="3"/>
      <c r="N736" s="3"/>
      <c r="O736" s="3"/>
    </row>
    <row r="737" spans="1:15" ht="15.75">
      <c r="A737" s="2"/>
      <c r="B737" s="2"/>
      <c r="C737" s="2"/>
      <c r="D737" s="2"/>
      <c r="E737" s="13"/>
      <c r="F737" s="13"/>
      <c r="G737" s="2"/>
      <c r="H737" s="2"/>
      <c r="I737" s="2"/>
      <c r="J737" s="2"/>
      <c r="K737" s="3"/>
      <c r="L737" s="2"/>
      <c r="M737" s="3"/>
      <c r="N737" s="3"/>
      <c r="O737" s="3"/>
    </row>
    <row r="738" spans="1:15" ht="15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3"/>
      <c r="L738" s="2"/>
      <c r="M738" s="3"/>
      <c r="N738" s="3"/>
      <c r="O738" s="3"/>
    </row>
    <row r="739" spans="1:15" ht="15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3"/>
      <c r="L739" s="2"/>
      <c r="M739" s="3"/>
      <c r="N739" s="3"/>
      <c r="O739" s="3"/>
    </row>
    <row r="740" spans="1:15" ht="15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3"/>
      <c r="L740" s="2"/>
      <c r="M740" s="3"/>
      <c r="N740" s="3"/>
      <c r="O740" s="3"/>
    </row>
    <row r="741" spans="1:15" ht="15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3"/>
      <c r="L741" s="2"/>
      <c r="M741" s="3"/>
      <c r="N741" s="3"/>
      <c r="O741" s="3"/>
    </row>
    <row r="742" spans="1:15" ht="15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3"/>
      <c r="L742" s="2"/>
      <c r="M742" s="3"/>
      <c r="N742" s="3"/>
      <c r="O742" s="3"/>
    </row>
    <row r="743" spans="1:15" ht="15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3"/>
      <c r="L743" s="2"/>
      <c r="M743" s="3"/>
      <c r="N743" s="3"/>
      <c r="O743" s="3"/>
    </row>
    <row r="744" spans="1:15" ht="15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3"/>
      <c r="L744" s="2"/>
      <c r="M744" s="3"/>
      <c r="N744" s="3"/>
      <c r="O744" s="3"/>
    </row>
    <row r="745" spans="1:15" ht="15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3"/>
      <c r="L745" s="2"/>
      <c r="M745" s="3"/>
      <c r="N745" s="3"/>
      <c r="O745" s="3"/>
    </row>
    <row r="746" spans="1:15" ht="15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3"/>
      <c r="L746" s="2"/>
      <c r="M746" s="3"/>
      <c r="N746" s="3"/>
      <c r="O746" s="3"/>
    </row>
    <row r="747" spans="1:15" ht="15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3"/>
      <c r="L747" s="2"/>
      <c r="M747" s="3"/>
      <c r="N747" s="3"/>
      <c r="O747" s="3"/>
    </row>
    <row r="748" spans="1:15" ht="15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3"/>
      <c r="L748" s="2"/>
      <c r="M748" s="3"/>
      <c r="N748" s="3"/>
      <c r="O748" s="3"/>
    </row>
    <row r="749" spans="1:15" ht="15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3"/>
      <c r="L749" s="2"/>
      <c r="M749" s="3"/>
      <c r="N749" s="3"/>
      <c r="O749" s="3"/>
    </row>
    <row r="750" spans="1:15" ht="15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3"/>
      <c r="L750" s="2"/>
      <c r="M750" s="3"/>
      <c r="N750" s="3"/>
      <c r="O750" s="3"/>
    </row>
    <row r="751" spans="1:15" ht="15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3"/>
      <c r="L751" s="2"/>
      <c r="M751" s="3"/>
      <c r="N751" s="3"/>
      <c r="O751" s="3"/>
    </row>
    <row r="752" spans="1:15" ht="15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3"/>
      <c r="L752" s="2"/>
      <c r="M752" s="3"/>
      <c r="N752" s="3"/>
      <c r="O752" s="3"/>
    </row>
    <row r="753" spans="1:15" ht="15.75">
      <c r="A753" s="2"/>
      <c r="B753" s="2"/>
      <c r="C753" s="2"/>
      <c r="D753" s="2"/>
      <c r="E753" s="13"/>
      <c r="F753" s="13"/>
      <c r="G753" s="2"/>
      <c r="H753" s="2"/>
      <c r="I753" s="2"/>
      <c r="J753" s="2"/>
      <c r="K753" s="3"/>
      <c r="L753" s="2"/>
      <c r="M753" s="3"/>
      <c r="N753" s="3"/>
      <c r="O753" s="3"/>
    </row>
    <row r="754" spans="1:15" ht="15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3"/>
      <c r="L754" s="2"/>
      <c r="M754" s="3"/>
      <c r="N754" s="3"/>
      <c r="O754" s="3"/>
    </row>
    <row r="755" spans="1:15" ht="15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3"/>
      <c r="L755" s="2"/>
      <c r="M755" s="3"/>
      <c r="N755" s="3"/>
      <c r="O755" s="3"/>
    </row>
    <row r="756" spans="1:15" ht="15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3"/>
      <c r="L756" s="2"/>
      <c r="M756" s="3"/>
      <c r="N756" s="3"/>
      <c r="O756" s="3"/>
    </row>
    <row r="757" spans="1:15" ht="15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3"/>
      <c r="L757" s="2"/>
      <c r="M757" s="3"/>
      <c r="N757" s="3"/>
      <c r="O757" s="3"/>
    </row>
    <row r="758" spans="1:15" ht="15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3"/>
      <c r="L758" s="2"/>
      <c r="M758" s="3"/>
      <c r="N758" s="3"/>
      <c r="O758" s="3"/>
    </row>
    <row r="759" spans="1:15" ht="15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3"/>
      <c r="L759" s="2"/>
      <c r="M759" s="3"/>
      <c r="N759" s="3"/>
      <c r="O759" s="3"/>
    </row>
    <row r="760" spans="1:15" ht="15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3"/>
      <c r="L760" s="2"/>
      <c r="M760" s="3"/>
      <c r="N760" s="3"/>
      <c r="O760" s="3"/>
    </row>
    <row r="761" spans="1:15" ht="15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3"/>
      <c r="L761" s="2"/>
      <c r="M761" s="3"/>
      <c r="N761" s="3"/>
      <c r="O761" s="3"/>
    </row>
    <row r="762" spans="1:15" ht="15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3"/>
      <c r="L762" s="2"/>
      <c r="M762" s="3"/>
      <c r="N762" s="3"/>
      <c r="O762" s="3"/>
    </row>
    <row r="763" spans="1:15" ht="15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3"/>
      <c r="L763" s="2"/>
      <c r="M763" s="3"/>
      <c r="N763" s="3"/>
      <c r="O763" s="3"/>
    </row>
    <row r="764" spans="1:15" ht="15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3"/>
      <c r="L764" s="2"/>
      <c r="M764" s="3"/>
      <c r="N764" s="3"/>
      <c r="O764" s="3"/>
    </row>
    <row r="765" spans="1:15" ht="15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3"/>
      <c r="L765" s="2"/>
      <c r="M765" s="3"/>
      <c r="N765" s="3"/>
      <c r="O765" s="3"/>
    </row>
    <row r="766" spans="1:15" ht="15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3"/>
      <c r="L766" s="2"/>
      <c r="M766" s="3"/>
      <c r="N766" s="3"/>
      <c r="O766" s="3"/>
    </row>
    <row r="767" spans="1:15" ht="15.75">
      <c r="A767" s="2"/>
      <c r="B767" s="2"/>
      <c r="C767" s="2"/>
      <c r="D767" s="2"/>
      <c r="E767" s="14"/>
      <c r="F767" s="14"/>
      <c r="G767" s="2"/>
      <c r="H767" s="2"/>
      <c r="I767" s="2"/>
      <c r="J767" s="2"/>
      <c r="K767" s="3"/>
      <c r="L767" s="2"/>
      <c r="M767" s="3"/>
      <c r="N767" s="3"/>
      <c r="O767" s="3"/>
    </row>
    <row r="768" spans="1:15" ht="15.75">
      <c r="A768" s="2"/>
      <c r="B768" s="2"/>
      <c r="C768" s="2"/>
      <c r="D768" s="2"/>
      <c r="E768" s="14"/>
      <c r="F768" s="14"/>
      <c r="G768" s="2"/>
      <c r="H768" s="2"/>
      <c r="I768" s="2"/>
      <c r="J768" s="2"/>
      <c r="K768" s="3"/>
      <c r="L768" s="2"/>
      <c r="M768" s="3"/>
      <c r="N768" s="3"/>
      <c r="O768" s="3"/>
    </row>
    <row r="769" spans="1:15" ht="15.75">
      <c r="A769" s="2"/>
      <c r="B769" s="2"/>
      <c r="C769" s="2"/>
      <c r="D769" s="2"/>
      <c r="E769" s="5"/>
      <c r="F769" s="5"/>
      <c r="G769" s="2"/>
      <c r="H769" s="2"/>
      <c r="I769" s="2"/>
      <c r="J769" s="2"/>
      <c r="K769" s="3"/>
      <c r="L769" s="2"/>
      <c r="M769" s="3"/>
      <c r="N769" s="3"/>
      <c r="O769" s="3"/>
    </row>
    <row r="770" spans="1:15" ht="15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3"/>
      <c r="L770" s="2"/>
      <c r="M770" s="3"/>
      <c r="N770" s="3"/>
      <c r="O770" s="3"/>
    </row>
    <row r="771" spans="1:15" ht="15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3"/>
      <c r="L771" s="2"/>
      <c r="M771" s="3"/>
      <c r="N771" s="3"/>
      <c r="O771" s="3"/>
    </row>
    <row r="772" spans="1:15" ht="15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3"/>
      <c r="L772" s="2"/>
      <c r="M772" s="3"/>
      <c r="N772" s="3"/>
      <c r="O772" s="3"/>
    </row>
    <row r="773" spans="1:15" ht="15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3"/>
      <c r="L773" s="2"/>
      <c r="M773" s="3"/>
      <c r="N773" s="3"/>
      <c r="O773" s="3"/>
    </row>
    <row r="774" spans="1:15" ht="15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3"/>
      <c r="L774" s="2"/>
      <c r="M774" s="3"/>
      <c r="N774" s="3"/>
      <c r="O774" s="3"/>
    </row>
    <row r="775" spans="1:15" ht="15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3"/>
      <c r="L775" s="2"/>
      <c r="M775" s="3"/>
      <c r="N775" s="3"/>
      <c r="O775" s="3"/>
    </row>
    <row r="776" spans="1:15" ht="15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3"/>
      <c r="L776" s="2"/>
      <c r="M776" s="3"/>
      <c r="N776" s="3"/>
      <c r="O776" s="3"/>
    </row>
    <row r="777" spans="1:15" ht="15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3"/>
      <c r="L777" s="2"/>
      <c r="M777" s="3"/>
      <c r="N777" s="3"/>
      <c r="O777" s="3"/>
    </row>
    <row r="778" spans="1:15" ht="15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3"/>
      <c r="L778" s="2"/>
      <c r="M778" s="3"/>
      <c r="N778" s="3"/>
      <c r="O778" s="3"/>
    </row>
    <row r="779" spans="1:15" ht="15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3"/>
      <c r="L779" s="2"/>
      <c r="M779" s="3"/>
      <c r="N779" s="3"/>
      <c r="O779" s="3"/>
    </row>
    <row r="780" spans="1:15" ht="15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3"/>
      <c r="L780" s="2"/>
      <c r="M780" s="3"/>
      <c r="N780" s="3"/>
      <c r="O780" s="3"/>
    </row>
    <row r="781" spans="1:15" ht="15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3"/>
      <c r="L781" s="2"/>
      <c r="M781" s="3"/>
      <c r="N781" s="3"/>
      <c r="O781" s="3"/>
    </row>
    <row r="782" spans="1:15" ht="15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3"/>
      <c r="L782" s="2"/>
      <c r="M782" s="3"/>
      <c r="N782" s="3"/>
      <c r="O782" s="3"/>
    </row>
    <row r="783" spans="1:15" ht="15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3"/>
      <c r="L783" s="2"/>
      <c r="M783" s="3"/>
      <c r="N783" s="3"/>
      <c r="O783" s="3"/>
    </row>
    <row r="784" spans="1:15" ht="15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3"/>
      <c r="L784" s="2"/>
      <c r="M784" s="3"/>
      <c r="N784" s="3"/>
      <c r="O784" s="3"/>
    </row>
    <row r="785" spans="1:15" ht="15.75">
      <c r="A785" s="2"/>
      <c r="B785" s="2"/>
      <c r="C785" s="2"/>
      <c r="D785" s="2"/>
      <c r="E785" s="13"/>
      <c r="F785" s="13"/>
      <c r="G785" s="2"/>
      <c r="H785" s="2"/>
      <c r="I785" s="2"/>
      <c r="J785" s="2"/>
      <c r="K785" s="3"/>
      <c r="L785" s="2"/>
      <c r="M785" s="3"/>
      <c r="N785" s="3"/>
      <c r="O785" s="3"/>
    </row>
    <row r="786" spans="1:15" ht="15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3"/>
      <c r="L786" s="2"/>
      <c r="M786" s="3"/>
      <c r="N786" s="3"/>
      <c r="O786" s="3"/>
    </row>
    <row r="787" spans="1:15" ht="15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3"/>
      <c r="L787" s="2"/>
      <c r="M787" s="3"/>
      <c r="N787" s="3"/>
      <c r="O787" s="3"/>
    </row>
    <row r="788" spans="1:15" ht="15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3"/>
      <c r="L788" s="2"/>
      <c r="M788" s="3"/>
      <c r="N788" s="3"/>
      <c r="O788" s="3"/>
    </row>
    <row r="789" spans="1:15" ht="15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3"/>
      <c r="L789" s="2"/>
      <c r="M789" s="3"/>
      <c r="N789" s="3"/>
      <c r="O789" s="3"/>
    </row>
    <row r="790" spans="1:15" ht="15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3"/>
      <c r="L790" s="2"/>
      <c r="M790" s="3"/>
      <c r="N790" s="3"/>
      <c r="O790" s="3"/>
    </row>
    <row r="791" spans="1:15" ht="15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3"/>
      <c r="L791" s="2"/>
      <c r="M791" s="3"/>
      <c r="N791" s="3"/>
      <c r="O791" s="3"/>
    </row>
    <row r="792" spans="1:15" ht="15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3"/>
      <c r="L792" s="2"/>
      <c r="M792" s="3"/>
      <c r="N792" s="3"/>
      <c r="O792" s="3"/>
    </row>
    <row r="793" spans="1:15" ht="15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3"/>
      <c r="L793" s="2"/>
      <c r="M793" s="3"/>
      <c r="N793" s="3"/>
      <c r="O793" s="3"/>
    </row>
    <row r="794" spans="1:15" ht="15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3"/>
      <c r="L794" s="2"/>
      <c r="M794" s="3"/>
      <c r="N794" s="3"/>
      <c r="O794" s="3"/>
    </row>
    <row r="795" spans="1:15" ht="15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3"/>
      <c r="L795" s="2"/>
      <c r="M795" s="3"/>
      <c r="N795" s="3"/>
      <c r="O795" s="3"/>
    </row>
    <row r="796" spans="1:15" ht="15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3"/>
      <c r="L796" s="2"/>
      <c r="M796" s="3"/>
      <c r="N796" s="3"/>
      <c r="O796" s="3"/>
    </row>
    <row r="797" spans="1:15" ht="15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3"/>
      <c r="L797" s="2"/>
      <c r="M797" s="3"/>
      <c r="N797" s="3"/>
      <c r="O797" s="3"/>
    </row>
    <row r="798" spans="1:15" ht="15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3"/>
      <c r="L798" s="2"/>
      <c r="M798" s="3"/>
      <c r="N798" s="3"/>
      <c r="O798" s="3"/>
    </row>
    <row r="799" spans="1:15" ht="15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3"/>
      <c r="L799" s="2"/>
      <c r="M799" s="3"/>
      <c r="N799" s="3"/>
      <c r="O799" s="3"/>
    </row>
    <row r="800" spans="1:15" ht="15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3"/>
      <c r="L800" s="2"/>
      <c r="M800" s="3"/>
      <c r="N800" s="3"/>
      <c r="O800" s="3"/>
    </row>
    <row r="801" spans="1:15" ht="15.75">
      <c r="A801" s="2"/>
      <c r="B801" s="2"/>
      <c r="C801" s="2"/>
      <c r="D801" s="2"/>
      <c r="E801" s="13"/>
      <c r="F801" s="13"/>
      <c r="G801" s="2"/>
      <c r="H801" s="2"/>
      <c r="I801" s="2"/>
      <c r="J801" s="2"/>
      <c r="K801" s="3"/>
      <c r="L801" s="2"/>
      <c r="M801" s="3"/>
      <c r="N801" s="3"/>
      <c r="O801" s="3"/>
    </row>
    <row r="802" spans="1:15" ht="15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3"/>
      <c r="L802" s="2"/>
      <c r="M802" s="3"/>
      <c r="N802" s="3"/>
      <c r="O802" s="3"/>
    </row>
    <row r="803" spans="1:15" ht="15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3"/>
      <c r="L803" s="2"/>
      <c r="M803" s="3"/>
      <c r="N803" s="3"/>
      <c r="O803" s="3"/>
    </row>
    <row r="804" spans="1:15" ht="15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3"/>
      <c r="L804" s="2"/>
      <c r="M804" s="3"/>
      <c r="N804" s="3"/>
      <c r="O804" s="3"/>
    </row>
    <row r="805" spans="1:15" ht="15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3"/>
      <c r="L805" s="2"/>
      <c r="M805" s="3"/>
      <c r="N805" s="3"/>
      <c r="O805" s="3"/>
    </row>
    <row r="806" spans="1:15" ht="15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3"/>
      <c r="L806" s="2"/>
      <c r="M806" s="3"/>
      <c r="N806" s="3"/>
      <c r="O806" s="3"/>
    </row>
    <row r="807" spans="1:15" ht="15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3"/>
      <c r="L807" s="2"/>
      <c r="M807" s="3"/>
      <c r="N807" s="3"/>
      <c r="O807" s="3"/>
    </row>
    <row r="808" spans="1:15" ht="15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3"/>
      <c r="L808" s="2"/>
      <c r="M808" s="3"/>
      <c r="N808" s="3"/>
      <c r="O808" s="3"/>
    </row>
    <row r="809" spans="1:15" ht="15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3"/>
      <c r="L809" s="2"/>
      <c r="M809" s="3"/>
      <c r="N809" s="3"/>
      <c r="O809" s="3"/>
    </row>
    <row r="810" spans="1:15" ht="15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3"/>
      <c r="L810" s="2"/>
      <c r="M810" s="3"/>
      <c r="N810" s="3"/>
      <c r="O810" s="3"/>
    </row>
    <row r="811" spans="1:15" ht="15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3"/>
      <c r="L811" s="2"/>
      <c r="M811" s="3"/>
      <c r="N811" s="3"/>
      <c r="O811" s="3"/>
    </row>
    <row r="812" spans="1:15" ht="15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3"/>
      <c r="L812" s="2"/>
      <c r="M812" s="3"/>
      <c r="N812" s="3"/>
      <c r="O812" s="3"/>
    </row>
    <row r="813" spans="1:15" ht="15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3"/>
      <c r="L813" s="2"/>
      <c r="M813" s="3"/>
      <c r="N813" s="3"/>
      <c r="O813" s="3"/>
    </row>
    <row r="814" spans="1:15" ht="15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3"/>
      <c r="L814" s="2"/>
      <c r="M814" s="3"/>
      <c r="N814" s="3"/>
      <c r="O814" s="3"/>
    </row>
    <row r="815" spans="1:15" ht="15.75">
      <c r="A815" s="2"/>
      <c r="B815" s="2"/>
      <c r="C815" s="2"/>
      <c r="D815" s="2"/>
      <c r="E815" s="14"/>
      <c r="F815" s="14"/>
      <c r="G815" s="2"/>
      <c r="H815" s="2"/>
      <c r="I815" s="2"/>
      <c r="J815" s="2"/>
      <c r="K815" s="3"/>
      <c r="L815" s="2"/>
      <c r="M815" s="3"/>
      <c r="N815" s="3"/>
      <c r="O815" s="3"/>
    </row>
    <row r="816" spans="1:15" ht="15.75">
      <c r="A816" s="2"/>
      <c r="B816" s="2"/>
      <c r="C816" s="2"/>
      <c r="D816" s="2"/>
      <c r="E816" s="14"/>
      <c r="F816" s="14"/>
      <c r="G816" s="2"/>
      <c r="H816" s="2"/>
      <c r="I816" s="2"/>
      <c r="J816" s="2"/>
      <c r="K816" s="3"/>
      <c r="L816" s="2"/>
      <c r="M816" s="3"/>
      <c r="N816" s="3"/>
      <c r="O816" s="3"/>
    </row>
    <row r="817" spans="1:15" ht="15.75">
      <c r="A817" s="2"/>
      <c r="B817" s="2"/>
      <c r="C817" s="2"/>
      <c r="D817" s="2"/>
      <c r="E817" s="5"/>
      <c r="F817" s="5"/>
      <c r="G817" s="2"/>
      <c r="H817" s="2"/>
      <c r="I817" s="2"/>
      <c r="J817" s="2"/>
      <c r="K817" s="3"/>
      <c r="L817" s="2"/>
      <c r="M817" s="3"/>
      <c r="N817" s="3"/>
      <c r="O817" s="3"/>
    </row>
    <row r="818" spans="1:15" ht="15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3"/>
      <c r="L818" s="2"/>
      <c r="M818" s="3"/>
      <c r="N818" s="3"/>
      <c r="O818" s="3"/>
    </row>
    <row r="819" spans="1:15" ht="15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3"/>
      <c r="L819" s="2"/>
      <c r="M819" s="3"/>
      <c r="N819" s="3"/>
      <c r="O819" s="3"/>
    </row>
    <row r="820" spans="1:15" ht="15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3"/>
      <c r="L820" s="2"/>
      <c r="M820" s="3"/>
      <c r="N820" s="3"/>
      <c r="O820" s="3"/>
    </row>
    <row r="821" spans="1:15" ht="15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3"/>
      <c r="L821" s="2"/>
      <c r="M821" s="3"/>
      <c r="N821" s="3"/>
      <c r="O821" s="3"/>
    </row>
    <row r="822" spans="1:15" ht="15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3"/>
      <c r="L822" s="2"/>
      <c r="M822" s="3"/>
      <c r="N822" s="3"/>
      <c r="O822" s="3"/>
    </row>
    <row r="823" spans="1:15" ht="15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3"/>
      <c r="L823" s="2"/>
      <c r="M823" s="3"/>
      <c r="N823" s="3"/>
      <c r="O823" s="3"/>
    </row>
    <row r="824" spans="1:15" ht="15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3"/>
      <c r="L824" s="2"/>
      <c r="M824" s="3"/>
      <c r="N824" s="3"/>
      <c r="O824" s="3"/>
    </row>
    <row r="825" spans="1:15" ht="15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3"/>
      <c r="L825" s="2"/>
      <c r="M825" s="3"/>
      <c r="N825" s="3"/>
      <c r="O825" s="3"/>
    </row>
    <row r="826" spans="1:15" ht="15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3"/>
      <c r="L826" s="2"/>
      <c r="M826" s="3"/>
      <c r="N826" s="3"/>
      <c r="O826" s="3"/>
    </row>
    <row r="827" spans="1:15" ht="15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3"/>
      <c r="L827" s="2"/>
      <c r="M827" s="3"/>
      <c r="N827" s="3"/>
      <c r="O827" s="3"/>
    </row>
    <row r="828" spans="1:15" ht="15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3"/>
      <c r="L828" s="2"/>
      <c r="M828" s="3"/>
      <c r="N828" s="3"/>
      <c r="O828" s="3"/>
    </row>
    <row r="829" spans="1:15" ht="15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3"/>
      <c r="L829" s="2"/>
      <c r="M829" s="3"/>
      <c r="N829" s="3"/>
      <c r="O829" s="3"/>
    </row>
    <row r="830" spans="1:15" ht="15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3"/>
      <c r="L830" s="2"/>
      <c r="M830" s="3"/>
      <c r="N830" s="3"/>
      <c r="O830" s="3"/>
    </row>
    <row r="831" spans="1:15" ht="15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3"/>
      <c r="L831" s="2"/>
      <c r="M831" s="3"/>
      <c r="N831" s="3"/>
      <c r="O831" s="3"/>
    </row>
    <row r="832" spans="1:15" ht="15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3"/>
      <c r="L832" s="2"/>
      <c r="M832" s="3"/>
      <c r="N832" s="3"/>
      <c r="O832" s="3"/>
    </row>
    <row r="833" spans="1:15" ht="15.75">
      <c r="A833" s="2"/>
      <c r="B833" s="2"/>
      <c r="C833" s="2"/>
      <c r="D833" s="2"/>
      <c r="E833" s="13"/>
      <c r="F833" s="13"/>
      <c r="G833" s="2"/>
      <c r="H833" s="2"/>
      <c r="I833" s="2"/>
      <c r="J833" s="2"/>
      <c r="K833" s="3"/>
      <c r="L833" s="2"/>
      <c r="M833" s="3"/>
      <c r="N833" s="3"/>
      <c r="O833" s="3"/>
    </row>
    <row r="834" spans="1:15" ht="15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3"/>
      <c r="L834" s="2"/>
      <c r="M834" s="3"/>
      <c r="N834" s="3"/>
      <c r="O834" s="3"/>
    </row>
    <row r="835" spans="1:15" ht="15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3"/>
      <c r="L835" s="2"/>
      <c r="M835" s="3"/>
      <c r="N835" s="3"/>
      <c r="O835" s="3"/>
    </row>
    <row r="836" spans="1:15" ht="15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3"/>
      <c r="L836" s="2"/>
      <c r="M836" s="3"/>
      <c r="N836" s="3"/>
      <c r="O836" s="3"/>
    </row>
    <row r="837" spans="1:15" ht="15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3"/>
      <c r="L837" s="2"/>
      <c r="M837" s="3"/>
      <c r="N837" s="3"/>
      <c r="O837" s="3"/>
    </row>
    <row r="838" spans="1:15" ht="15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3"/>
      <c r="L838" s="2"/>
      <c r="M838" s="3"/>
      <c r="N838" s="3"/>
      <c r="O838" s="3"/>
    </row>
    <row r="839" spans="1:15" ht="15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3"/>
      <c r="L839" s="2"/>
      <c r="M839" s="3"/>
      <c r="N839" s="3"/>
      <c r="O839" s="3"/>
    </row>
    <row r="840" spans="1:15" ht="15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3"/>
      <c r="L840" s="2"/>
      <c r="M840" s="3"/>
      <c r="N840" s="3"/>
      <c r="O840" s="3"/>
    </row>
    <row r="841" spans="1:15" ht="15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3"/>
      <c r="L841" s="2"/>
      <c r="M841" s="3"/>
      <c r="N841" s="3"/>
      <c r="O841" s="3"/>
    </row>
    <row r="842" spans="1:15" ht="15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3"/>
      <c r="L842" s="2"/>
      <c r="M842" s="3"/>
      <c r="N842" s="3"/>
      <c r="O842" s="3"/>
    </row>
    <row r="843" spans="1:15" ht="15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3"/>
      <c r="L843" s="2"/>
      <c r="M843" s="3"/>
      <c r="N843" s="3"/>
      <c r="O843" s="3"/>
    </row>
    <row r="844" spans="1:15" ht="15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3"/>
      <c r="L844" s="2"/>
      <c r="M844" s="3"/>
      <c r="N844" s="3"/>
      <c r="O844" s="3"/>
    </row>
    <row r="845" spans="1:15" ht="15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3"/>
      <c r="L845" s="2"/>
      <c r="M845" s="3"/>
      <c r="N845" s="3"/>
      <c r="O845" s="3"/>
    </row>
    <row r="846" spans="1:15" ht="15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3"/>
      <c r="L846" s="2"/>
      <c r="M846" s="3"/>
      <c r="N846" s="3"/>
      <c r="O846" s="3"/>
    </row>
    <row r="847" spans="1:15" ht="15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3"/>
      <c r="L847" s="2"/>
      <c r="M847" s="3"/>
      <c r="N847" s="3"/>
      <c r="O847" s="3"/>
    </row>
    <row r="848" spans="1:15" ht="15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3"/>
      <c r="L848" s="2"/>
      <c r="M848" s="3"/>
      <c r="N848" s="3"/>
      <c r="O848" s="3"/>
    </row>
    <row r="849" spans="1:15" ht="15.75">
      <c r="A849" s="2"/>
      <c r="B849" s="2"/>
      <c r="C849" s="2"/>
      <c r="D849" s="2"/>
      <c r="E849" s="13"/>
      <c r="F849" s="13"/>
      <c r="G849" s="2"/>
      <c r="H849" s="2"/>
      <c r="I849" s="2"/>
      <c r="J849" s="2"/>
      <c r="K849" s="3"/>
      <c r="L849" s="2"/>
      <c r="M849" s="3"/>
      <c r="N849" s="3"/>
      <c r="O849" s="3"/>
    </row>
    <row r="850" spans="1:15" ht="15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3"/>
      <c r="L850" s="2"/>
      <c r="M850" s="3"/>
      <c r="N850" s="3"/>
      <c r="O850" s="3"/>
    </row>
    <row r="851" spans="1:15" ht="15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3"/>
      <c r="L851" s="2"/>
      <c r="M851" s="3"/>
      <c r="N851" s="3"/>
      <c r="O851" s="3"/>
    </row>
    <row r="852" spans="1:15" ht="15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3"/>
      <c r="L852" s="2"/>
      <c r="M852" s="3"/>
      <c r="N852" s="3"/>
      <c r="O852" s="3"/>
    </row>
    <row r="853" spans="1:15" ht="15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3"/>
      <c r="L853" s="2"/>
      <c r="M853" s="3"/>
      <c r="N853" s="3"/>
      <c r="O853" s="3"/>
    </row>
    <row r="854" spans="1:15" ht="15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3"/>
      <c r="L854" s="2"/>
      <c r="M854" s="3"/>
      <c r="N854" s="3"/>
      <c r="O854" s="3"/>
    </row>
    <row r="855" spans="1:15" ht="15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3"/>
      <c r="L855" s="2"/>
      <c r="M855" s="3"/>
      <c r="N855" s="3"/>
      <c r="O855" s="3"/>
    </row>
    <row r="856" spans="1:15" ht="15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3"/>
      <c r="L856" s="2"/>
      <c r="M856" s="3"/>
      <c r="N856" s="3"/>
      <c r="O856" s="3"/>
    </row>
    <row r="857" spans="1:15" ht="15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3"/>
      <c r="L857" s="2"/>
      <c r="M857" s="3"/>
      <c r="N857" s="3"/>
      <c r="O857" s="3"/>
    </row>
    <row r="858" spans="1:15" ht="15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3"/>
      <c r="L858" s="2"/>
      <c r="M858" s="3"/>
      <c r="N858" s="3"/>
      <c r="O858" s="3"/>
    </row>
    <row r="859" spans="1:15" ht="15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3"/>
      <c r="L859" s="2"/>
      <c r="M859" s="3"/>
      <c r="N859" s="3"/>
      <c r="O859" s="3"/>
    </row>
    <row r="860" spans="1:15" ht="15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3"/>
      <c r="L860" s="2"/>
      <c r="M860" s="3"/>
      <c r="N860" s="3"/>
      <c r="O860" s="3"/>
    </row>
    <row r="861" spans="1:15" ht="15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3"/>
      <c r="L861" s="2"/>
      <c r="M861" s="3"/>
      <c r="N861" s="3"/>
      <c r="O861" s="3"/>
    </row>
    <row r="862" spans="1:15" ht="15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3"/>
      <c r="L862" s="2"/>
      <c r="M862" s="3"/>
      <c r="N862" s="3"/>
      <c r="O862" s="3"/>
    </row>
    <row r="863" spans="1:15" ht="15.75">
      <c r="A863" s="2"/>
      <c r="B863" s="2"/>
      <c r="C863" s="2"/>
      <c r="D863" s="2"/>
      <c r="E863" s="14"/>
      <c r="F863" s="14"/>
      <c r="G863" s="2"/>
      <c r="H863" s="2"/>
      <c r="I863" s="2"/>
      <c r="J863" s="2"/>
      <c r="K863" s="3"/>
      <c r="L863" s="2"/>
      <c r="M863" s="3"/>
      <c r="N863" s="3"/>
      <c r="O863" s="3"/>
    </row>
    <row r="864" spans="1:15" ht="15.75">
      <c r="A864" s="2"/>
      <c r="B864" s="2"/>
      <c r="C864" s="2"/>
      <c r="D864" s="2"/>
      <c r="E864" s="14"/>
      <c r="F864" s="14"/>
      <c r="G864" s="2"/>
      <c r="H864" s="2"/>
      <c r="I864" s="2"/>
      <c r="J864" s="2"/>
      <c r="K864" s="3"/>
      <c r="L864" s="2"/>
      <c r="M864" s="3"/>
      <c r="N864" s="3"/>
      <c r="O864" s="3"/>
    </row>
    <row r="865" spans="1:15" ht="15.75">
      <c r="A865" s="2"/>
      <c r="B865" s="2"/>
      <c r="C865" s="2"/>
      <c r="D865" s="2"/>
      <c r="E865" s="5"/>
      <c r="F865" s="5"/>
      <c r="G865" s="2"/>
      <c r="H865" s="2"/>
      <c r="I865" s="2"/>
      <c r="J865" s="2"/>
      <c r="K865" s="3"/>
      <c r="L865" s="2"/>
      <c r="M865" s="3"/>
      <c r="N865" s="3"/>
      <c r="O865" s="3"/>
    </row>
    <row r="866" spans="1:15" ht="15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3"/>
      <c r="L866" s="2"/>
      <c r="M866" s="3"/>
      <c r="N866" s="3"/>
      <c r="O866" s="3"/>
    </row>
    <row r="867" spans="1:15" ht="15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3"/>
      <c r="L867" s="2"/>
      <c r="M867" s="3"/>
      <c r="N867" s="3"/>
      <c r="O867" s="3"/>
    </row>
    <row r="868" spans="1:15" ht="15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3"/>
      <c r="L868" s="2"/>
      <c r="M868" s="3"/>
      <c r="N868" s="3"/>
      <c r="O868" s="3"/>
    </row>
    <row r="869" spans="1:15" ht="15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3"/>
      <c r="L869" s="2"/>
      <c r="M869" s="3"/>
      <c r="N869" s="3"/>
      <c r="O869" s="3"/>
    </row>
    <row r="870" spans="1:15" ht="15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3"/>
      <c r="L870" s="2"/>
      <c r="M870" s="3"/>
      <c r="N870" s="3"/>
      <c r="O870" s="3"/>
    </row>
    <row r="871" spans="1:15" ht="15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3"/>
      <c r="L871" s="2"/>
      <c r="M871" s="3"/>
      <c r="N871" s="3"/>
      <c r="O871" s="3"/>
    </row>
    <row r="872" spans="1:15" ht="15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3"/>
      <c r="L872" s="2"/>
      <c r="M872" s="3"/>
      <c r="N872" s="3"/>
      <c r="O872" s="3"/>
    </row>
    <row r="873" spans="1:15" ht="15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3"/>
      <c r="L873" s="2"/>
      <c r="M873" s="3"/>
      <c r="N873" s="3"/>
      <c r="O873" s="3"/>
    </row>
    <row r="874" spans="1:15" ht="15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3"/>
      <c r="L874" s="2"/>
      <c r="M874" s="3"/>
      <c r="N874" s="3"/>
      <c r="O874" s="3"/>
    </row>
    <row r="875" spans="1:15" ht="15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3"/>
      <c r="L875" s="2"/>
      <c r="M875" s="3"/>
      <c r="N875" s="3"/>
      <c r="O875" s="3"/>
    </row>
    <row r="876" spans="1:15" ht="15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3"/>
      <c r="L876" s="2"/>
      <c r="M876" s="3"/>
      <c r="N876" s="3"/>
      <c r="O876" s="3"/>
    </row>
    <row r="877" spans="1:15" ht="15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3"/>
      <c r="L877" s="2"/>
      <c r="M877" s="3"/>
      <c r="N877" s="3"/>
      <c r="O877" s="3"/>
    </row>
    <row r="878" spans="1:15" ht="15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3"/>
      <c r="L878" s="2"/>
      <c r="M878" s="3"/>
      <c r="N878" s="3"/>
      <c r="O878" s="3"/>
    </row>
    <row r="879" spans="1:15" ht="15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3"/>
      <c r="L879" s="2"/>
      <c r="M879" s="3"/>
      <c r="N879" s="3"/>
      <c r="O879" s="3"/>
    </row>
    <row r="880" spans="1:15" ht="15.75">
      <c r="A880" s="2"/>
      <c r="B880" s="8"/>
      <c r="C880" s="8"/>
      <c r="D880" s="8"/>
      <c r="E880" s="8"/>
      <c r="F880" s="8"/>
      <c r="G880" s="8"/>
      <c r="H880" s="2"/>
      <c r="I880" s="2"/>
      <c r="J880" s="2"/>
      <c r="K880" s="3"/>
      <c r="L880" s="2"/>
      <c r="M880" s="3"/>
      <c r="N880" s="3"/>
      <c r="O880" s="3"/>
    </row>
    <row r="881" spans="1:15" ht="15.75">
      <c r="A881" s="2"/>
      <c r="B881" s="2"/>
      <c r="C881" s="2"/>
      <c r="D881" s="2"/>
      <c r="E881" s="13"/>
      <c r="F881" s="13"/>
      <c r="G881" s="2"/>
      <c r="H881" s="2"/>
      <c r="I881" s="2"/>
      <c r="J881" s="2"/>
      <c r="K881" s="3"/>
      <c r="L881" s="2"/>
      <c r="M881" s="3"/>
      <c r="N881" s="3"/>
      <c r="O881" s="3"/>
    </row>
    <row r="882" spans="1:15" ht="15.75">
      <c r="A882" s="8"/>
      <c r="B882" s="2"/>
      <c r="C882" s="2"/>
      <c r="D882" s="2"/>
      <c r="E882" s="2"/>
      <c r="F882" s="2"/>
      <c r="G882" s="2"/>
      <c r="H882" s="2"/>
      <c r="I882" s="8"/>
      <c r="J882" s="2"/>
      <c r="K882" s="3"/>
      <c r="L882" s="2"/>
      <c r="M882" s="3"/>
      <c r="N882" s="3"/>
      <c r="O882" s="3"/>
    </row>
    <row r="883" spans="1:15" ht="15.75">
      <c r="A883" s="8"/>
      <c r="B883" s="2"/>
      <c r="C883" s="2"/>
      <c r="D883" s="2"/>
      <c r="E883" s="2"/>
      <c r="F883" s="2"/>
      <c r="G883" s="2"/>
      <c r="H883" s="2"/>
      <c r="I883" s="2"/>
      <c r="J883" s="2"/>
      <c r="K883" s="3"/>
      <c r="L883" s="2"/>
      <c r="M883" s="3"/>
      <c r="N883" s="3"/>
      <c r="O883" s="3"/>
    </row>
    <row r="884" spans="1:15" ht="15.75">
      <c r="A884" s="8"/>
      <c r="B884" s="2"/>
      <c r="C884" s="2"/>
      <c r="D884" s="2"/>
      <c r="E884" s="2"/>
      <c r="F884" s="2"/>
      <c r="G884" s="2"/>
      <c r="H884" s="2"/>
      <c r="I884" s="2"/>
      <c r="J884" s="2"/>
      <c r="K884" s="3"/>
      <c r="L884" s="2"/>
      <c r="M884" s="3"/>
      <c r="N884" s="3"/>
      <c r="O884" s="3"/>
    </row>
    <row r="885" spans="1:15" ht="15.75">
      <c r="A885" s="8"/>
      <c r="B885" s="2"/>
      <c r="C885" s="2"/>
      <c r="D885" s="2"/>
      <c r="E885" s="2"/>
      <c r="F885" s="2"/>
      <c r="G885" s="2"/>
      <c r="H885" s="2"/>
      <c r="I885" s="2"/>
      <c r="J885" s="2"/>
      <c r="K885" s="3"/>
      <c r="L885" s="2"/>
      <c r="M885" s="3"/>
      <c r="N885" s="3"/>
      <c r="O885" s="3"/>
    </row>
    <row r="886" spans="1:15" ht="15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3"/>
      <c r="L886" s="2"/>
      <c r="M886" s="3"/>
      <c r="N886" s="3"/>
      <c r="O886" s="3"/>
    </row>
    <row r="887" spans="1:15" ht="15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3"/>
      <c r="L887" s="2"/>
      <c r="M887" s="3"/>
      <c r="N887" s="3"/>
      <c r="O887" s="3"/>
    </row>
    <row r="888" spans="1:15" ht="15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3"/>
      <c r="L888" s="2"/>
      <c r="M888" s="3"/>
      <c r="N888" s="3"/>
      <c r="O888" s="3"/>
    </row>
    <row r="889" spans="1:15" ht="15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3"/>
      <c r="L889" s="2"/>
      <c r="M889" s="3"/>
      <c r="N889" s="3"/>
      <c r="O889" s="3"/>
    </row>
    <row r="890" spans="1:15" ht="15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3"/>
      <c r="L890" s="2"/>
      <c r="M890" s="3"/>
      <c r="N890" s="3"/>
      <c r="O890" s="3"/>
    </row>
    <row r="891" spans="1:15" ht="15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3"/>
      <c r="L891" s="2"/>
      <c r="M891" s="3"/>
      <c r="N891" s="3"/>
      <c r="O891" s="3"/>
    </row>
    <row r="892" spans="1:15" ht="15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3"/>
      <c r="L892" s="2"/>
      <c r="M892" s="3"/>
      <c r="N892" s="3"/>
      <c r="O892" s="3"/>
    </row>
    <row r="893" spans="1:15" ht="15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3"/>
      <c r="L893" s="2"/>
      <c r="M893" s="3"/>
      <c r="N893" s="3"/>
      <c r="O893" s="3"/>
    </row>
    <row r="894" spans="1:15" ht="15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3"/>
      <c r="L894" s="2"/>
      <c r="M894" s="3"/>
      <c r="N894" s="3"/>
      <c r="O894" s="3"/>
    </row>
    <row r="895" spans="1:15" ht="15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3"/>
      <c r="L895" s="2"/>
      <c r="M895" s="3"/>
      <c r="N895" s="3"/>
      <c r="O895" s="3"/>
    </row>
    <row r="896" spans="1:15" ht="15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3"/>
      <c r="L896" s="2"/>
      <c r="M896" s="3"/>
      <c r="N896" s="3"/>
      <c r="O896" s="3"/>
    </row>
    <row r="897" spans="1:15" ht="15.75">
      <c r="A897" s="2"/>
      <c r="B897" s="2"/>
      <c r="C897" s="2"/>
      <c r="D897" s="2"/>
      <c r="E897" s="13"/>
      <c r="F897" s="13"/>
      <c r="G897" s="2"/>
      <c r="H897" s="2"/>
      <c r="I897" s="2"/>
      <c r="J897" s="2"/>
      <c r="K897" s="3"/>
      <c r="L897" s="2"/>
      <c r="M897" s="3"/>
      <c r="N897" s="3"/>
      <c r="O897" s="3"/>
    </row>
    <row r="898" spans="1:15" ht="15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3"/>
      <c r="L898" s="2"/>
      <c r="M898" s="3"/>
      <c r="N898" s="3"/>
      <c r="O898" s="3"/>
    </row>
    <row r="899" spans="1:15" ht="15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3"/>
      <c r="L899" s="2"/>
      <c r="M899" s="3"/>
      <c r="N899" s="3"/>
      <c r="O899" s="3"/>
    </row>
    <row r="900" spans="1:15" ht="15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3"/>
      <c r="L900" s="2"/>
      <c r="M900" s="3"/>
      <c r="N900" s="3"/>
      <c r="O900" s="3"/>
    </row>
    <row r="901" spans="1:15" ht="15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3"/>
      <c r="L901" s="2"/>
      <c r="M901" s="3"/>
      <c r="N901" s="3"/>
      <c r="O901" s="3"/>
    </row>
    <row r="902" spans="1:15" ht="15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3"/>
      <c r="L902" s="2"/>
      <c r="M902" s="3"/>
      <c r="N902" s="3"/>
      <c r="O902" s="3"/>
    </row>
    <row r="903" spans="1:15" ht="15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3"/>
      <c r="L903" s="2"/>
      <c r="M903" s="3"/>
      <c r="N903" s="3"/>
      <c r="O903" s="3"/>
    </row>
    <row r="904" spans="1:15" ht="15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3"/>
      <c r="L904" s="2"/>
      <c r="M904" s="3"/>
      <c r="N904" s="3"/>
      <c r="O904" s="3"/>
    </row>
    <row r="905" spans="1:15" ht="15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3"/>
      <c r="L905" s="2"/>
      <c r="M905" s="3"/>
      <c r="N905" s="3"/>
      <c r="O905" s="3"/>
    </row>
    <row r="906" spans="1:15" ht="15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3"/>
      <c r="L906" s="2"/>
      <c r="M906" s="3"/>
      <c r="N906" s="3"/>
      <c r="O906" s="3"/>
    </row>
    <row r="907" spans="1:15" ht="15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3"/>
      <c r="L907" s="2"/>
      <c r="M907" s="3"/>
      <c r="N907" s="3"/>
      <c r="O907" s="3"/>
    </row>
    <row r="908" spans="1:15" ht="15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3"/>
      <c r="L908" s="2"/>
      <c r="M908" s="3"/>
      <c r="N908" s="3"/>
      <c r="O908" s="3"/>
    </row>
    <row r="909" spans="1:15" ht="15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3"/>
      <c r="L909" s="2"/>
      <c r="M909" s="3"/>
      <c r="N909" s="3"/>
      <c r="O909" s="3"/>
    </row>
    <row r="910" spans="1:15" ht="15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3"/>
      <c r="L910" s="2"/>
      <c r="M910" s="3"/>
      <c r="N910" s="3"/>
      <c r="O910" s="3"/>
    </row>
    <row r="911" spans="1:15" ht="15.75">
      <c r="A911" s="2"/>
      <c r="B911" s="2"/>
      <c r="C911" s="2"/>
      <c r="D911" s="2"/>
      <c r="E911" s="14"/>
      <c r="F911" s="14"/>
      <c r="G911" s="2"/>
      <c r="H911" s="2"/>
      <c r="I911" s="2"/>
      <c r="J911" s="2"/>
      <c r="K911" s="3"/>
      <c r="L911" s="2"/>
      <c r="M911" s="3"/>
      <c r="N911" s="3"/>
      <c r="O911" s="3"/>
    </row>
    <row r="912" spans="1:15" ht="15.75">
      <c r="A912" s="2"/>
      <c r="B912" s="2"/>
      <c r="C912" s="2"/>
      <c r="D912" s="2"/>
      <c r="E912" s="14"/>
      <c r="F912" s="14"/>
      <c r="G912" s="2"/>
      <c r="H912" s="2"/>
      <c r="I912" s="2"/>
      <c r="J912" s="2"/>
      <c r="K912" s="3"/>
      <c r="L912" s="2"/>
      <c r="M912" s="3"/>
      <c r="N912" s="3"/>
      <c r="O912" s="3"/>
    </row>
    <row r="913" spans="1:15" ht="15.75">
      <c r="A913" s="2"/>
      <c r="B913" s="2"/>
      <c r="C913" s="2"/>
      <c r="D913" s="2"/>
      <c r="E913" s="5"/>
      <c r="F913" s="5"/>
      <c r="G913" s="2"/>
      <c r="H913" s="2"/>
      <c r="I913" s="2"/>
      <c r="J913" s="2"/>
      <c r="K913" s="3"/>
      <c r="L913" s="2"/>
      <c r="M913" s="3"/>
      <c r="N913" s="3"/>
      <c r="O913" s="3"/>
    </row>
    <row r="914" spans="1:15" ht="15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3"/>
      <c r="L914" s="2"/>
      <c r="M914" s="3"/>
      <c r="N914" s="3"/>
      <c r="O914" s="3"/>
    </row>
    <row r="915" spans="1:15" ht="15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3"/>
      <c r="L915" s="2"/>
      <c r="M915" s="3"/>
      <c r="N915" s="3"/>
      <c r="O915" s="3"/>
    </row>
    <row r="916" spans="1:15" ht="15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3"/>
      <c r="L916" s="2"/>
      <c r="M916" s="3"/>
      <c r="N916" s="3"/>
      <c r="O916" s="3"/>
    </row>
    <row r="917" spans="1:15" ht="15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3"/>
      <c r="L917" s="2"/>
      <c r="M917" s="3"/>
      <c r="N917" s="3"/>
      <c r="O917" s="3"/>
    </row>
    <row r="918" spans="1:15" ht="15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3"/>
      <c r="L918" s="2"/>
      <c r="M918" s="3"/>
      <c r="N918" s="3"/>
      <c r="O918" s="3"/>
    </row>
    <row r="919" spans="1:15" ht="15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3"/>
      <c r="L919" s="2"/>
      <c r="M919" s="3"/>
      <c r="N919" s="3"/>
      <c r="O919" s="3"/>
    </row>
    <row r="920" spans="1:15" ht="15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3"/>
      <c r="L920" s="2"/>
      <c r="M920" s="3"/>
      <c r="N920" s="3"/>
      <c r="O920" s="3"/>
    </row>
    <row r="921" spans="1:15" ht="15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3"/>
      <c r="L921" s="2"/>
      <c r="M921" s="3"/>
      <c r="N921" s="3"/>
      <c r="O921" s="3"/>
    </row>
    <row r="922" spans="1:15" ht="15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3"/>
      <c r="L922" s="2"/>
      <c r="M922" s="3"/>
      <c r="N922" s="3"/>
      <c r="O922" s="3"/>
    </row>
    <row r="923" spans="1:15" ht="15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3"/>
      <c r="L923" s="2"/>
      <c r="M923" s="3"/>
      <c r="N923" s="3"/>
      <c r="O923" s="3"/>
    </row>
    <row r="924" spans="1:15" ht="15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3"/>
      <c r="L924" s="2"/>
      <c r="M924" s="3"/>
      <c r="N924" s="3"/>
      <c r="O924" s="3"/>
    </row>
    <row r="925" spans="1:15" ht="15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3"/>
      <c r="L925" s="2"/>
      <c r="M925" s="3"/>
      <c r="N925" s="3"/>
      <c r="O925" s="3"/>
    </row>
    <row r="926" spans="1:15" ht="15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3"/>
      <c r="L926" s="2"/>
      <c r="M926" s="3"/>
      <c r="N926" s="3"/>
      <c r="O926" s="3"/>
    </row>
    <row r="927" spans="1:15" ht="15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3"/>
      <c r="L927" s="2"/>
      <c r="M927" s="3"/>
      <c r="N927" s="3"/>
      <c r="O927" s="3"/>
    </row>
    <row r="928" spans="1:15" ht="15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3"/>
      <c r="L928" s="2"/>
      <c r="M928" s="3"/>
      <c r="N928" s="3"/>
      <c r="O928" s="3"/>
    </row>
    <row r="929" spans="1:15" ht="15.75">
      <c r="A929" s="2"/>
      <c r="B929" s="2"/>
      <c r="C929" s="2"/>
      <c r="D929" s="2"/>
      <c r="E929" s="13"/>
      <c r="F929" s="13"/>
      <c r="G929" s="2"/>
      <c r="H929" s="2"/>
      <c r="I929" s="2"/>
      <c r="J929" s="2"/>
      <c r="K929" s="3"/>
      <c r="L929" s="2"/>
      <c r="M929" s="3"/>
      <c r="N929" s="3"/>
      <c r="O929" s="3"/>
    </row>
    <row r="930" spans="1:15" ht="15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3"/>
      <c r="L930" s="2"/>
      <c r="M930" s="3"/>
      <c r="N930" s="3"/>
      <c r="O930" s="3"/>
    </row>
    <row r="931" spans="1:15" ht="15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3"/>
      <c r="L931" s="2"/>
      <c r="M931" s="3"/>
      <c r="N931" s="3"/>
      <c r="O931" s="3"/>
    </row>
    <row r="932" spans="1:15" ht="15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3"/>
      <c r="L932" s="2"/>
      <c r="M932" s="3"/>
      <c r="N932" s="3"/>
      <c r="O932" s="3"/>
    </row>
    <row r="933" spans="1:15" ht="15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3"/>
      <c r="L933" s="2"/>
      <c r="M933" s="3"/>
      <c r="N933" s="3"/>
      <c r="O933" s="3"/>
    </row>
    <row r="934" spans="1:15" ht="15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3"/>
      <c r="L934" s="2"/>
      <c r="M934" s="3"/>
      <c r="N934" s="3"/>
      <c r="O934" s="3"/>
    </row>
    <row r="935" spans="1:15" ht="15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3"/>
      <c r="L935" s="2"/>
      <c r="M935" s="3"/>
      <c r="N935" s="3"/>
      <c r="O935" s="3"/>
    </row>
    <row r="936" spans="1:15" ht="15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3"/>
      <c r="L936" s="2"/>
      <c r="M936" s="3"/>
      <c r="N936" s="3"/>
      <c r="O936" s="3"/>
    </row>
    <row r="937" spans="1:15" ht="15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3"/>
      <c r="L937" s="2"/>
      <c r="M937" s="3"/>
      <c r="N937" s="3"/>
      <c r="O937" s="3"/>
    </row>
    <row r="938" spans="1:15" ht="15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3"/>
      <c r="L938" s="2"/>
      <c r="M938" s="3"/>
      <c r="N938" s="3"/>
      <c r="O938" s="3"/>
    </row>
    <row r="939" spans="1:15" ht="15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3"/>
      <c r="L939" s="2"/>
      <c r="M939" s="3"/>
      <c r="N939" s="3"/>
      <c r="O939" s="3"/>
    </row>
    <row r="940" spans="1:15" ht="15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3"/>
      <c r="L940" s="2"/>
      <c r="M940" s="3"/>
      <c r="N940" s="3"/>
      <c r="O940" s="3"/>
    </row>
    <row r="941" spans="1:15" ht="15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3"/>
      <c r="L941" s="2"/>
      <c r="M941" s="3"/>
      <c r="N941" s="3"/>
      <c r="O941" s="3"/>
    </row>
    <row r="942" spans="1:15" ht="15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3"/>
      <c r="L942" s="2"/>
      <c r="M942" s="3"/>
      <c r="N942" s="3"/>
      <c r="O942" s="3"/>
    </row>
    <row r="943" spans="1:15" ht="15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3"/>
      <c r="L943" s="2"/>
      <c r="M943" s="3"/>
      <c r="N943" s="3"/>
      <c r="O943" s="3"/>
    </row>
    <row r="944" spans="1:15" ht="15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3"/>
      <c r="L944" s="2"/>
      <c r="M944" s="3"/>
      <c r="N944" s="3"/>
      <c r="O944" s="3"/>
    </row>
    <row r="945" spans="1:16" ht="15.75">
      <c r="A945" s="2"/>
      <c r="B945" s="2"/>
      <c r="C945" s="2"/>
      <c r="D945" s="2"/>
      <c r="E945" s="13"/>
      <c r="F945" s="13"/>
      <c r="G945" s="2"/>
      <c r="H945" s="2"/>
      <c r="I945" s="2"/>
      <c r="J945" s="2"/>
      <c r="K945" s="3"/>
      <c r="L945" s="2"/>
      <c r="M945" s="3"/>
      <c r="N945" s="3"/>
      <c r="O945" s="3"/>
    </row>
    <row r="946" spans="1:16" ht="15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3"/>
      <c r="L946" s="2"/>
      <c r="M946" s="3"/>
      <c r="N946" s="3"/>
      <c r="O946" s="3"/>
    </row>
    <row r="947" spans="1:16" ht="15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3"/>
      <c r="L947" s="2"/>
      <c r="M947" s="3"/>
      <c r="N947" s="3"/>
      <c r="O947" s="3"/>
    </row>
    <row r="948" spans="1:16" ht="15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3"/>
      <c r="L948" s="2"/>
      <c r="M948" s="3"/>
      <c r="N948" s="3"/>
      <c r="O948" s="3"/>
    </row>
    <row r="949" spans="1:16" ht="15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3"/>
      <c r="L949" s="2"/>
      <c r="M949" s="3"/>
      <c r="N949" s="3"/>
      <c r="O949" s="3"/>
    </row>
    <row r="950" spans="1:16" ht="15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3"/>
      <c r="L950" s="2"/>
      <c r="M950" s="3"/>
      <c r="N950" s="3"/>
      <c r="O950" s="3"/>
    </row>
    <row r="951" spans="1:16" ht="15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3"/>
      <c r="L951" s="2"/>
      <c r="M951" s="3"/>
      <c r="N951" s="3"/>
      <c r="O951" s="3"/>
    </row>
    <row r="952" spans="1:16" ht="15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3"/>
      <c r="L952" s="2"/>
      <c r="M952" s="3"/>
      <c r="N952" s="3"/>
      <c r="O952" s="3"/>
    </row>
    <row r="953" spans="1:16" ht="15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3"/>
      <c r="L953" s="2"/>
      <c r="M953" s="3"/>
      <c r="N953" s="3"/>
      <c r="O953" s="3"/>
    </row>
    <row r="954" spans="1:16" ht="15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3"/>
      <c r="L954" s="2"/>
      <c r="M954" s="3"/>
      <c r="N954" s="3"/>
      <c r="O954" s="3"/>
    </row>
    <row r="955" spans="1:16" ht="15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3"/>
      <c r="L955" s="2"/>
      <c r="M955" s="3"/>
      <c r="N955" s="3"/>
      <c r="O955" s="3"/>
    </row>
    <row r="956" spans="1:16" ht="15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3"/>
      <c r="L956" s="2"/>
      <c r="M956" s="3"/>
      <c r="N956" s="3"/>
      <c r="O956" s="3"/>
    </row>
    <row r="957" spans="1:16" ht="15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3"/>
      <c r="L957" s="2"/>
      <c r="M957" s="3"/>
      <c r="N957" s="3"/>
      <c r="O957" s="3"/>
    </row>
    <row r="958" spans="1:16" ht="15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3"/>
      <c r="L958" s="2"/>
      <c r="M958" s="3"/>
      <c r="N958" s="3"/>
      <c r="O958" s="3"/>
    </row>
    <row r="959" spans="1:16" ht="15.75">
      <c r="A959" s="2"/>
      <c r="B959" s="2"/>
      <c r="C959" s="2"/>
      <c r="D959" s="2"/>
      <c r="E959" s="14"/>
      <c r="F959" s="14"/>
      <c r="G959" s="2"/>
      <c r="H959" s="2"/>
      <c r="I959" s="2"/>
      <c r="J959" s="2"/>
      <c r="K959" s="3"/>
      <c r="L959" s="2"/>
      <c r="M959" s="3"/>
      <c r="N959" s="3"/>
      <c r="O959" s="3"/>
      <c r="P959" s="2"/>
    </row>
    <row r="960" spans="1:16" ht="15.75">
      <c r="A960" s="2"/>
      <c r="B960" s="2"/>
      <c r="C960" s="2"/>
      <c r="D960" s="2"/>
      <c r="E960" s="14"/>
      <c r="F960" s="14"/>
      <c r="G960" s="2"/>
      <c r="H960" s="2"/>
      <c r="I960" s="2"/>
      <c r="J960" s="2"/>
      <c r="K960" s="3"/>
      <c r="L960" s="2"/>
      <c r="M960" s="3"/>
      <c r="N960" s="3"/>
      <c r="O960" s="3"/>
    </row>
    <row r="961" spans="1:15" ht="15.75">
      <c r="A961" s="2"/>
      <c r="B961" s="6"/>
      <c r="C961" s="2"/>
      <c r="D961" s="2"/>
      <c r="E961" s="7"/>
      <c r="F961" s="7"/>
      <c r="G961" s="6"/>
      <c r="H961" s="6"/>
      <c r="I961" s="6"/>
      <c r="J961" s="6"/>
      <c r="K961" s="10"/>
      <c r="L961" s="6"/>
      <c r="M961" s="10"/>
      <c r="N961" s="10"/>
      <c r="O961" s="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HUMEYRA SEVVAL KAVAKLI</dc:creator>
  <cp:lastModifiedBy>Furkan Balcı</cp:lastModifiedBy>
  <dcterms:created xsi:type="dcterms:W3CDTF">2025-01-30T07:13:22Z</dcterms:created>
  <dcterms:modified xsi:type="dcterms:W3CDTF">2025-11-22T16:17:21Z</dcterms:modified>
</cp:coreProperties>
</file>